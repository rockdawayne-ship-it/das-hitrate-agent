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keys" sheetId="2" state="visible" r:id="rId4"/>
    <sheet name="pivot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<sst xmlns="http://schemas.openxmlformats.org/spreadsheetml/2006/main" count="259" uniqueCount="94">
  <si>
    <t xml:space="preserve">실확정일자</t>
  </si>
  <si>
    <t xml:space="preserve">배송처차수</t>
  </si>
  <si>
    <t xml:space="preserve">상품코드</t>
  </si>
  <si>
    <t xml:space="preserve">Order Line</t>
  </si>
  <si>
    <t xml:space="preserve">PCS</t>
  </si>
  <si>
    <t xml:space="preserve">주문키</t>
  </si>
  <si>
    <t xml:space="preserve">웨이브</t>
  </si>
  <si>
    <t xml:space="preserve">10000 301</t>
  </si>
  <si>
    <t xml:space="preserve">GD000SKU</t>
  </si>
  <si>
    <t xml:space="preserve">10000 302</t>
  </si>
  <si>
    <t xml:space="preserve">9000 301</t>
  </si>
  <si>
    <t xml:space="preserve">A10 301</t>
  </si>
  <si>
    <t xml:space="preserve">GD001SKU</t>
  </si>
  <si>
    <t xml:space="preserve">A2 301</t>
  </si>
  <si>
    <t xml:space="preserve">A1 301</t>
  </si>
  <si>
    <t xml:space="preserve">GD002SKU</t>
  </si>
  <si>
    <t xml:space="preserve">B100 301</t>
  </si>
  <si>
    <t xml:space="preserve">GD003SKU</t>
  </si>
  <si>
    <t xml:space="preserve">14247 301</t>
  </si>
  <si>
    <t xml:space="preserve">14250 301</t>
  </si>
  <si>
    <t xml:space="preserve">GD007SKU</t>
  </si>
  <si>
    <t xml:space="preserve">14251 301</t>
  </si>
  <si>
    <t xml:space="preserve">GD014SKU</t>
  </si>
  <si>
    <t xml:space="preserve">14300 301</t>
  </si>
  <si>
    <t xml:space="preserve">15001 301</t>
  </si>
  <si>
    <t xml:space="preserve">GD008SKU</t>
  </si>
  <si>
    <t xml:space="preserve">GD009SKU</t>
  </si>
  <si>
    <t xml:space="preserve">15002 301</t>
  </si>
  <si>
    <t xml:space="preserve">GD015SKU</t>
  </si>
  <si>
    <t xml:space="preserve">15003 301</t>
  </si>
  <si>
    <t xml:space="preserve">15010 301</t>
  </si>
  <si>
    <t xml:space="preserve">15011 301</t>
  </si>
  <si>
    <t xml:space="preserve">GD016SKU</t>
  </si>
  <si>
    <t xml:space="preserve">GD017SKU</t>
  </si>
  <si>
    <t xml:space="preserve">15012 301</t>
  </si>
  <si>
    <t xml:space="preserve">15020 301</t>
  </si>
  <si>
    <t xml:space="preserve">GD010SKU</t>
  </si>
  <si>
    <t xml:space="preserve">15021 301</t>
  </si>
  <si>
    <t xml:space="preserve">15022 301</t>
  </si>
  <si>
    <t xml:space="preserve">GD004SKU</t>
  </si>
  <si>
    <t xml:space="preserve">GD005SKU</t>
  </si>
  <si>
    <t xml:space="preserve">16001 301</t>
  </si>
  <si>
    <t xml:space="preserve">GD011SKU</t>
  </si>
  <si>
    <t xml:space="preserve">16002 301</t>
  </si>
  <si>
    <t xml:space="preserve">GD018SKU</t>
  </si>
  <si>
    <t xml:space="preserve">16003 301</t>
  </si>
  <si>
    <t xml:space="preserve">16004 301</t>
  </si>
  <si>
    <t xml:space="preserve">GD012SKU</t>
  </si>
  <si>
    <t xml:space="preserve">GD013SKU</t>
  </si>
  <si>
    <t xml:space="preserve">16005 301</t>
  </si>
  <si>
    <t xml:space="preserve">GD019SKU</t>
  </si>
  <si>
    <t xml:space="preserve">16006 301</t>
  </si>
  <si>
    <t xml:space="preserve">GD006SKU</t>
  </si>
  <si>
    <t xml:space="preserve">16007 301</t>
  </si>
  <si>
    <t xml:space="preserve">16008 301</t>
  </si>
  <si>
    <t xml:space="preserve">16009 301</t>
  </si>
  <si>
    <t xml:space="preserve">17001 301</t>
  </si>
  <si>
    <t xml:space="preserve">17002 301</t>
  </si>
  <si>
    <t xml:space="preserve">17003 301</t>
  </si>
  <si>
    <t xml:space="preserve">17004 301</t>
  </si>
  <si>
    <t xml:space="preserve">17005 301</t>
  </si>
  <si>
    <t xml:space="preserve">17006 301</t>
  </si>
  <si>
    <t xml:space="preserve">17007 301</t>
  </si>
  <si>
    <t xml:space="preserve">17008 301</t>
  </si>
  <si>
    <t xml:space="preserve">17009 301</t>
  </si>
  <si>
    <t xml:space="preserve">18001 301</t>
  </si>
  <si>
    <t xml:space="preserve">18002 301</t>
  </si>
  <si>
    <t xml:space="preserve">18003 301</t>
  </si>
  <si>
    <t xml:space="preserve">18004 301</t>
  </si>
  <si>
    <t xml:space="preserve">18005 301</t>
  </si>
  <si>
    <t xml:space="preserve">18006 301</t>
  </si>
  <si>
    <t xml:space="preserve">18007 301</t>
  </si>
  <si>
    <t xml:space="preserve">18008 301</t>
  </si>
  <si>
    <t xml:space="preserve">18009 301</t>
  </si>
  <si>
    <t xml:space="preserve">19001 301</t>
  </si>
  <si>
    <t xml:space="preserve">19002 301</t>
  </si>
  <si>
    <t xml:space="preserve">19003 301</t>
  </si>
  <si>
    <r>
      <rPr>
        <sz val="11"/>
        <color theme="1"/>
        <rFont val="Calibri"/>
        <family val="2"/>
        <charset val="1"/>
      </rPr>
      <t xml:space="preserve">PCS</t>
    </r>
    <r>
      <rPr>
        <sz val="11"/>
        <color theme="1"/>
        <rFont val="나눔고딕"/>
        <family val="2"/>
        <charset val="129"/>
      </rPr>
      <t xml:space="preserve">합</t>
    </r>
  </si>
  <si>
    <t xml:space="preserve">토트</t>
  </si>
  <si>
    <t xml:space="preserve">order</t>
  </si>
  <si>
    <t xml:space="preserve">sku</t>
  </si>
  <si>
    <t xml:space="preserve">order_line</t>
  </si>
  <si>
    <t xml:space="preserve">pcs</t>
  </si>
  <si>
    <t xml:space="preserve">waves</t>
  </si>
  <si>
    <t xml:space="preserve">tote</t>
  </si>
  <si>
    <t xml:space="preserve">pivot_pcs</t>
  </si>
  <si>
    <t xml:space="preserve">ol_per_tote</t>
  </si>
  <si>
    <t xml:space="preserve">pcs_per_tote</t>
  </si>
  <si>
    <t xml:space="preserve">ol_per_order</t>
  </si>
  <si>
    <t xml:space="preserve">pcs_per_order</t>
  </si>
  <si>
    <t xml:space="preserve">pcs_per_ol</t>
  </si>
  <si>
    <t xml:space="preserve">ol_per_sku</t>
  </si>
  <si>
    <t xml:space="preserve">tote_per_h</t>
  </si>
  <si>
    <t xml:space="preserve">pcs_per_h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</si>
</sst>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n">
        <v>20250115</v>
      </c>
      <c r="B2" s="1" t="s">
        <v>7</v>
      </c>
      <c r="C2" s="1" t="s">
        <v>8</v>
      </c>
      <c r="D2" s="0" t="n">
        <v>1</v>
      </c>
      <c r="E2" s="0" t="n">
        <v>15</v>
      </c>
      <c r="F2" s="0" t="str">
        <f aca="false">B2</f>
        <v>10000 301</v>
      </c>
      <c r="G2" s="0" t="n">
        <f aca="false">ROUNDUP(MATCH(F2,keys!$A$1:$A$50,0)/16,0)</f>
        <v>1</v>
      </c>
    </row>
    <row r="3" customFormat="false" ht="15" hidden="false" customHeight="false" outlineLevel="0" collapsed="false">
      <c r="A3" s="0" t="n">
        <v>20250115</v>
      </c>
      <c r="B3" s="1" t="s">
        <v>9</v>
      </c>
      <c r="C3" s="1" t="s">
        <v>8</v>
      </c>
      <c r="D3" s="0" t="n">
        <v>1</v>
      </c>
      <c r="E3" s="0" t="n">
        <v>1</v>
      </c>
      <c r="F3" s="0" t="str">
        <f aca="false">B3</f>
        <v>10000 302</v>
      </c>
      <c r="G3" s="0" t="n">
        <f aca="false">ROUNDUP(MATCH(F3,keys!$A$1:$A$50,0)/16,0)</f>
        <v>1</v>
      </c>
    </row>
    <row r="4" customFormat="false" ht="15" hidden="false" customHeight="false" outlineLevel="0" collapsed="false">
      <c r="A4" s="0" t="n">
        <v>20250115</v>
      </c>
      <c r="B4" s="1" t="s">
        <v>10</v>
      </c>
      <c r="C4" s="1" t="s">
        <v>8</v>
      </c>
      <c r="D4" s="0" t="n">
        <v>1</v>
      </c>
      <c r="E4" s="0" t="n">
        <v>30</v>
      </c>
      <c r="F4" s="0" t="str">
        <f aca="false">B4</f>
        <v>9000 301</v>
      </c>
      <c r="G4" s="0" t="n">
        <f aca="false">ROUNDUP(MATCH(F4,keys!$A$1:$A$50,0)/16,0)</f>
        <v>3</v>
      </c>
    </row>
    <row r="5" customFormat="false" ht="15" hidden="false" customHeight="false" outlineLevel="0" collapsed="false">
      <c r="A5" s="0" t="n">
        <v>20250115</v>
      </c>
      <c r="B5" s="1" t="s">
        <v>11</v>
      </c>
      <c r="C5" s="1" t="s">
        <v>12</v>
      </c>
      <c r="D5" s="0" t="n">
        <v>2</v>
      </c>
      <c r="E5" s="0" t="n">
        <v>31</v>
      </c>
      <c r="F5" s="0" t="str">
        <f aca="false">B5</f>
        <v>A10 301</v>
      </c>
      <c r="G5" s="0" t="n">
        <f aca="false">ROUNDUP(MATCH(F5,keys!$A$1:$A$50,0)/16,0)</f>
        <v>3</v>
      </c>
    </row>
    <row r="6" customFormat="false" ht="15" hidden="false" customHeight="false" outlineLevel="0" collapsed="false">
      <c r="A6" s="0" t="n">
        <v>20250115</v>
      </c>
      <c r="B6" s="1" t="s">
        <v>13</v>
      </c>
      <c r="C6" s="1" t="s">
        <v>12</v>
      </c>
      <c r="D6" s="0" t="n">
        <v>1</v>
      </c>
      <c r="E6" s="0" t="n">
        <v>14</v>
      </c>
      <c r="F6" s="0" t="str">
        <f aca="false">B6</f>
        <v>A2 301</v>
      </c>
      <c r="G6" s="0" t="n">
        <f aca="false">ROUNDUP(MATCH(F6,keys!$A$1:$A$50,0)/16,0)</f>
        <v>4</v>
      </c>
    </row>
    <row r="7" customFormat="false" ht="15" hidden="false" customHeight="false" outlineLevel="0" collapsed="false">
      <c r="A7" s="0" t="n">
        <v>20250115</v>
      </c>
      <c r="B7" s="1" t="s">
        <v>14</v>
      </c>
      <c r="C7" s="1" t="s">
        <v>15</v>
      </c>
      <c r="D7" s="0" t="n">
        <v>1</v>
      </c>
      <c r="E7" s="0" t="n">
        <v>15</v>
      </c>
      <c r="F7" s="0" t="str">
        <f aca="false">B7</f>
        <v>A1 301</v>
      </c>
      <c r="G7" s="0" t="n">
        <f aca="false">ROUNDUP(MATCH(F7,keys!$A$1:$A$50,0)/16,0)</f>
        <v>3</v>
      </c>
    </row>
    <row r="8" customFormat="false" ht="15" hidden="false" customHeight="false" outlineLevel="0" collapsed="false">
      <c r="A8" s="0" t="n">
        <v>20250115</v>
      </c>
      <c r="B8" s="1" t="s">
        <v>14</v>
      </c>
      <c r="C8" s="1" t="s">
        <v>15</v>
      </c>
      <c r="D8" s="0" t="n">
        <v>1</v>
      </c>
      <c r="E8" s="0" t="n">
        <v>15</v>
      </c>
      <c r="F8" s="0" t="str">
        <f aca="false">B8</f>
        <v>A1 301</v>
      </c>
      <c r="G8" s="0" t="n">
        <f aca="false">ROUNDUP(MATCH(F8,keys!$A$1:$A$50,0)/16,0)</f>
        <v>3</v>
      </c>
    </row>
    <row r="9" customFormat="false" ht="15" hidden="false" customHeight="false" outlineLevel="0" collapsed="false">
      <c r="A9" s="0" t="n">
        <v>20250115</v>
      </c>
      <c r="B9" s="1" t="s">
        <v>16</v>
      </c>
      <c r="C9" s="1" t="s">
        <v>17</v>
      </c>
      <c r="D9" s="0" t="n">
        <v>1</v>
      </c>
      <c r="E9" s="0" t="n">
        <v>1</v>
      </c>
      <c r="F9" s="0" t="str">
        <f aca="false">B9</f>
        <v>B100 301</v>
      </c>
      <c r="G9" s="0" t="n">
        <f aca="false">ROUNDUP(MATCH(F9,keys!$A$1:$A$50,0)/16,0)</f>
        <v>4</v>
      </c>
    </row>
    <row r="10" customFormat="false" ht="15" hidden="false" customHeight="false" outlineLevel="0" collapsed="false">
      <c r="A10" s="0" t="n">
        <v>20250115</v>
      </c>
      <c r="B10" s="1" t="s">
        <v>18</v>
      </c>
      <c r="C10" s="1" t="s">
        <v>8</v>
      </c>
      <c r="D10" s="0" t="n">
        <v>1</v>
      </c>
      <c r="E10" s="0" t="n">
        <v>1</v>
      </c>
      <c r="F10" s="0" t="str">
        <f aca="false">B10</f>
        <v>14247 301</v>
      </c>
      <c r="G10" s="0" t="n">
        <f aca="false">ROUNDUP(MATCH(F10,keys!$A$1:$A$50,0)/16,0)</f>
        <v>1</v>
      </c>
    </row>
    <row r="11" customFormat="false" ht="15" hidden="false" customHeight="false" outlineLevel="0" collapsed="false">
      <c r="A11" s="0" t="n">
        <v>20250115</v>
      </c>
      <c r="B11" s="1" t="s">
        <v>18</v>
      </c>
      <c r="C11" s="1" t="s">
        <v>12</v>
      </c>
      <c r="D11" s="0" t="n">
        <v>1</v>
      </c>
      <c r="E11" s="0" t="n">
        <v>1</v>
      </c>
      <c r="F11" s="0" t="str">
        <f aca="false">B11</f>
        <v>14247 301</v>
      </c>
      <c r="G11" s="0" t="n">
        <f aca="false">ROUNDUP(MATCH(F11,keys!$A$1:$A$50,0)/16,0)</f>
        <v>1</v>
      </c>
    </row>
    <row r="12" customFormat="false" ht="15" hidden="false" customHeight="false" outlineLevel="0" collapsed="false">
      <c r="A12" s="0" t="n">
        <v>20250115</v>
      </c>
      <c r="B12" s="1" t="s">
        <v>18</v>
      </c>
      <c r="C12" s="1" t="s">
        <v>8</v>
      </c>
      <c r="D12" s="0" t="n">
        <v>1</v>
      </c>
      <c r="E12" s="0" t="n">
        <v>2</v>
      </c>
      <c r="F12" s="0" t="str">
        <f aca="false">B12</f>
        <v>14247 301</v>
      </c>
      <c r="G12" s="0" t="n">
        <f aca="false">ROUNDUP(MATCH(F12,keys!$A$1:$A$50,0)/16,0)</f>
        <v>1</v>
      </c>
    </row>
    <row r="13" customFormat="false" ht="15" hidden="false" customHeight="false" outlineLevel="0" collapsed="false">
      <c r="A13" s="0" t="n">
        <v>20250115</v>
      </c>
      <c r="B13" s="1" t="s">
        <v>19</v>
      </c>
      <c r="C13" s="1" t="s">
        <v>20</v>
      </c>
      <c r="D13" s="0" t="n">
        <v>1</v>
      </c>
      <c r="E13" s="0" t="n">
        <v>6</v>
      </c>
      <c r="F13" s="0" t="str">
        <f aca="false">B13</f>
        <v>14250 301</v>
      </c>
      <c r="G13" s="0" t="n">
        <f aca="false">ROUNDUP(MATCH(F13,keys!$A$1:$A$50,0)/16,0)</f>
        <v>1</v>
      </c>
    </row>
    <row r="14" customFormat="false" ht="15" hidden="false" customHeight="false" outlineLevel="0" collapsed="false">
      <c r="A14" s="0" t="n">
        <v>20250115</v>
      </c>
      <c r="B14" s="1" t="s">
        <v>21</v>
      </c>
      <c r="C14" s="1" t="s">
        <v>22</v>
      </c>
      <c r="D14" s="0" t="n">
        <v>1</v>
      </c>
      <c r="E14" s="0" t="n">
        <v>11</v>
      </c>
      <c r="F14" s="0" t="str">
        <f aca="false">B14</f>
        <v>14251 301</v>
      </c>
      <c r="G14" s="0" t="n">
        <f aca="false">ROUNDUP(MATCH(F14,keys!$A$1:$A$50,0)/16,0)</f>
        <v>1</v>
      </c>
    </row>
    <row r="15" customFormat="false" ht="15" hidden="false" customHeight="false" outlineLevel="0" collapsed="false">
      <c r="A15" s="0" t="n">
        <v>20250115</v>
      </c>
      <c r="B15" s="1" t="s">
        <v>23</v>
      </c>
      <c r="C15" s="1" t="s">
        <v>12</v>
      </c>
      <c r="D15" s="0" t="n">
        <v>1</v>
      </c>
      <c r="E15" s="0" t="n">
        <v>16</v>
      </c>
      <c r="F15" s="0" t="str">
        <f aca="false">B15</f>
        <v>14300 301</v>
      </c>
      <c r="G15" s="0" t="n">
        <f aca="false">ROUNDUP(MATCH(F15,keys!$A$1:$A$50,0)/16,0)</f>
        <v>1</v>
      </c>
    </row>
    <row r="16" customFormat="false" ht="15" hidden="false" customHeight="false" outlineLevel="0" collapsed="false">
      <c r="A16" s="0" t="n">
        <v>20250115</v>
      </c>
      <c r="B16" s="1" t="s">
        <v>24</v>
      </c>
      <c r="C16" s="1" t="s">
        <v>25</v>
      </c>
      <c r="D16" s="0" t="n">
        <v>1</v>
      </c>
      <c r="E16" s="0" t="n">
        <v>4</v>
      </c>
      <c r="F16" s="0" t="str">
        <f aca="false">B16</f>
        <v>15001 301</v>
      </c>
      <c r="G16" s="0" t="n">
        <f aca="false">ROUNDUP(MATCH(F16,keys!$A$1:$A$50,0)/16,0)</f>
        <v>1</v>
      </c>
    </row>
    <row r="17" customFormat="false" ht="15" hidden="false" customHeight="false" outlineLevel="0" collapsed="false">
      <c r="A17" s="0" t="n">
        <v>20250115</v>
      </c>
      <c r="B17" s="1" t="s">
        <v>24</v>
      </c>
      <c r="C17" s="1" t="s">
        <v>26</v>
      </c>
      <c r="D17" s="0" t="n">
        <v>1</v>
      </c>
      <c r="E17" s="0" t="n">
        <v>13</v>
      </c>
      <c r="F17" s="0" t="str">
        <f aca="false">B17</f>
        <v>15001 301</v>
      </c>
      <c r="G17" s="0" t="n">
        <f aca="false">ROUNDUP(MATCH(F17,keys!$A$1:$A$50,0)/16,0)</f>
        <v>1</v>
      </c>
    </row>
    <row r="18" customFormat="false" ht="15" hidden="false" customHeight="false" outlineLevel="0" collapsed="false">
      <c r="A18" s="0" t="n">
        <v>20250115</v>
      </c>
      <c r="B18" s="1" t="s">
        <v>27</v>
      </c>
      <c r="C18" s="1" t="s">
        <v>28</v>
      </c>
      <c r="D18" s="0" t="n">
        <v>1</v>
      </c>
      <c r="E18" s="0" t="n">
        <v>9</v>
      </c>
      <c r="F18" s="0" t="str">
        <f aca="false">B18</f>
        <v>15002 301</v>
      </c>
      <c r="G18" s="0" t="n">
        <f aca="false">ROUNDUP(MATCH(F18,keys!$A$1:$A$50,0)/16,0)</f>
        <v>1</v>
      </c>
    </row>
    <row r="19" customFormat="false" ht="15" hidden="false" customHeight="false" outlineLevel="0" collapsed="false">
      <c r="A19" s="0" t="n">
        <v>20250115</v>
      </c>
      <c r="B19" s="1" t="s">
        <v>29</v>
      </c>
      <c r="C19" s="1" t="s">
        <v>15</v>
      </c>
      <c r="D19" s="0" t="n">
        <v>1</v>
      </c>
      <c r="E19" s="0" t="n">
        <v>14</v>
      </c>
      <c r="F19" s="0" t="str">
        <f aca="false">B19</f>
        <v>15003 301</v>
      </c>
      <c r="G19" s="0" t="n">
        <f aca="false">ROUNDUP(MATCH(F19,keys!$A$1:$A$50,0)/16,0)</f>
        <v>1</v>
      </c>
    </row>
    <row r="20" customFormat="false" ht="15" hidden="false" customHeight="false" outlineLevel="0" collapsed="false">
      <c r="A20" s="0" t="n">
        <v>20250115</v>
      </c>
      <c r="B20" s="1" t="s">
        <v>30</v>
      </c>
      <c r="C20" s="1" t="s">
        <v>26</v>
      </c>
      <c r="D20" s="0" t="n">
        <v>1</v>
      </c>
      <c r="E20" s="0" t="n">
        <v>2</v>
      </c>
      <c r="F20" s="0" t="str">
        <f aca="false">B20</f>
        <v>15010 301</v>
      </c>
      <c r="G20" s="0" t="n">
        <f aca="false">ROUNDUP(MATCH(F20,keys!$A$1:$A$50,0)/16,0)</f>
        <v>1</v>
      </c>
    </row>
    <row r="21" customFormat="false" ht="15" hidden="false" customHeight="false" outlineLevel="0" collapsed="false">
      <c r="A21" s="0" t="n">
        <v>20250115</v>
      </c>
      <c r="B21" s="1" t="s">
        <v>31</v>
      </c>
      <c r="C21" s="1" t="s">
        <v>32</v>
      </c>
      <c r="D21" s="0" t="n">
        <v>1</v>
      </c>
      <c r="E21" s="0" t="n">
        <v>7</v>
      </c>
      <c r="F21" s="0" t="str">
        <f aca="false">B21</f>
        <v>15011 301</v>
      </c>
      <c r="G21" s="0" t="n">
        <f aca="false">ROUNDUP(MATCH(F21,keys!$A$1:$A$50,0)/16,0)</f>
        <v>1</v>
      </c>
    </row>
    <row r="22" customFormat="false" ht="15" hidden="false" customHeight="false" outlineLevel="0" collapsed="false">
      <c r="A22" s="0" t="n">
        <v>20250115</v>
      </c>
      <c r="B22" s="1" t="s">
        <v>31</v>
      </c>
      <c r="C22" s="1" t="s">
        <v>33</v>
      </c>
      <c r="D22" s="0" t="n">
        <v>1</v>
      </c>
      <c r="E22" s="0" t="n">
        <v>9</v>
      </c>
      <c r="F22" s="0" t="str">
        <f aca="false">B22</f>
        <v>15011 301</v>
      </c>
      <c r="G22" s="0" t="n">
        <f aca="false">ROUNDUP(MATCH(F22,keys!$A$1:$A$50,0)/16,0)</f>
        <v>1</v>
      </c>
    </row>
    <row r="23" customFormat="false" ht="15" hidden="false" customHeight="false" outlineLevel="0" collapsed="false">
      <c r="A23" s="0" t="n">
        <v>20250115</v>
      </c>
      <c r="B23" s="1" t="s">
        <v>34</v>
      </c>
      <c r="C23" s="1" t="s">
        <v>17</v>
      </c>
      <c r="D23" s="0" t="n">
        <v>1</v>
      </c>
      <c r="E23" s="0" t="n">
        <v>12</v>
      </c>
      <c r="F23" s="0" t="str">
        <f aca="false">B23</f>
        <v>15012 301</v>
      </c>
      <c r="G23" s="0" t="n">
        <f aca="false">ROUNDUP(MATCH(F23,keys!$A$1:$A$50,0)/16,0)</f>
        <v>1</v>
      </c>
    </row>
    <row r="24" customFormat="false" ht="15" hidden="false" customHeight="false" outlineLevel="0" collapsed="false">
      <c r="A24" s="0" t="n">
        <v>20250115</v>
      </c>
      <c r="B24" s="1" t="s">
        <v>34</v>
      </c>
      <c r="C24" s="1" t="s">
        <v>17</v>
      </c>
      <c r="D24" s="0" t="n">
        <v>1</v>
      </c>
      <c r="E24" s="0" t="n">
        <v>2</v>
      </c>
      <c r="F24" s="0" t="str">
        <f aca="false">B24</f>
        <v>15012 301</v>
      </c>
      <c r="G24" s="0" t="n">
        <f aca="false">ROUNDUP(MATCH(F24,keys!$A$1:$A$50,0)/16,0)</f>
        <v>1</v>
      </c>
    </row>
    <row r="25" customFormat="false" ht="15" hidden="false" customHeight="false" outlineLevel="0" collapsed="false">
      <c r="A25" s="0" t="n">
        <v>20250115</v>
      </c>
      <c r="B25" s="1" t="s">
        <v>35</v>
      </c>
      <c r="C25" s="1" t="s">
        <v>36</v>
      </c>
      <c r="D25" s="0" t="n">
        <v>1</v>
      </c>
      <c r="E25" s="0" t="n">
        <v>17</v>
      </c>
      <c r="F25" s="0" t="str">
        <f aca="false">B25</f>
        <v>15020 301</v>
      </c>
      <c r="G25" s="0" t="n">
        <f aca="false">ROUNDUP(MATCH(F25,keys!$A$1:$A$50,0)/16,0)</f>
        <v>1</v>
      </c>
    </row>
    <row r="26" customFormat="false" ht="15" hidden="false" customHeight="false" outlineLevel="0" collapsed="false">
      <c r="A26" s="0" t="n">
        <v>20250115</v>
      </c>
      <c r="B26" s="1" t="s">
        <v>37</v>
      </c>
      <c r="C26" s="1" t="s">
        <v>33</v>
      </c>
      <c r="D26" s="0" t="n">
        <v>1</v>
      </c>
      <c r="E26" s="0" t="n">
        <v>5</v>
      </c>
      <c r="F26" s="0" t="str">
        <f aca="false">B26</f>
        <v>15021 301</v>
      </c>
      <c r="G26" s="0" t="n">
        <f aca="false">ROUNDUP(MATCH(F26,keys!$A$1:$A$50,0)/16,0)</f>
        <v>1</v>
      </c>
    </row>
    <row r="27" customFormat="false" ht="15" hidden="false" customHeight="false" outlineLevel="0" collapsed="false">
      <c r="A27" s="0" t="n">
        <v>20250115</v>
      </c>
      <c r="B27" s="1" t="s">
        <v>38</v>
      </c>
      <c r="C27" s="1" t="s">
        <v>39</v>
      </c>
      <c r="D27" s="0" t="n">
        <v>1</v>
      </c>
      <c r="E27" s="0" t="n">
        <v>10</v>
      </c>
      <c r="F27" s="0" t="str">
        <f aca="false">B27</f>
        <v>15022 301</v>
      </c>
      <c r="G27" s="0" t="n">
        <f aca="false">ROUNDUP(MATCH(F27,keys!$A$1:$A$50,0)/16,0)</f>
        <v>1</v>
      </c>
    </row>
    <row r="28" customFormat="false" ht="15" hidden="false" customHeight="false" outlineLevel="0" collapsed="false">
      <c r="A28" s="0" t="n">
        <v>20250115</v>
      </c>
      <c r="B28" s="1" t="s">
        <v>38</v>
      </c>
      <c r="C28" s="1" t="s">
        <v>40</v>
      </c>
      <c r="D28" s="0" t="n">
        <v>1</v>
      </c>
      <c r="E28" s="0" t="n">
        <v>5</v>
      </c>
      <c r="F28" s="0" t="str">
        <f aca="false">B28</f>
        <v>15022 301</v>
      </c>
      <c r="G28" s="0" t="n">
        <f aca="false">ROUNDUP(MATCH(F28,keys!$A$1:$A$50,0)/16,0)</f>
        <v>1</v>
      </c>
    </row>
    <row r="29" customFormat="false" ht="15" hidden="false" customHeight="false" outlineLevel="0" collapsed="false">
      <c r="A29" s="0" t="n">
        <v>20250115</v>
      </c>
      <c r="B29" s="1" t="s">
        <v>41</v>
      </c>
      <c r="C29" s="1" t="s">
        <v>42</v>
      </c>
      <c r="D29" s="0" t="n">
        <v>1</v>
      </c>
      <c r="E29" s="0" t="n">
        <v>15</v>
      </c>
      <c r="F29" s="0" t="str">
        <f aca="false">B29</f>
        <v>16001 301</v>
      </c>
      <c r="G29" s="0" t="n">
        <f aca="false">ROUNDUP(MATCH(F29,keys!$A$1:$A$50,0)/16,0)</f>
        <v>1</v>
      </c>
    </row>
    <row r="30" customFormat="false" ht="15" hidden="false" customHeight="false" outlineLevel="0" collapsed="false">
      <c r="A30" s="0" t="n">
        <v>20250115</v>
      </c>
      <c r="B30" s="1" t="s">
        <v>43</v>
      </c>
      <c r="C30" s="1" t="s">
        <v>44</v>
      </c>
      <c r="D30" s="0" t="n">
        <v>1</v>
      </c>
      <c r="E30" s="0" t="n">
        <v>3</v>
      </c>
      <c r="F30" s="0" t="str">
        <f aca="false">B30</f>
        <v>16002 301</v>
      </c>
      <c r="G30" s="0" t="n">
        <f aca="false">ROUNDUP(MATCH(F30,keys!$A$1:$A$50,0)/16,0)</f>
        <v>2</v>
      </c>
    </row>
    <row r="31" customFormat="false" ht="15" hidden="false" customHeight="false" outlineLevel="0" collapsed="false">
      <c r="A31" s="0" t="n">
        <v>20250115</v>
      </c>
      <c r="B31" s="1" t="s">
        <v>45</v>
      </c>
      <c r="C31" s="1" t="s">
        <v>40</v>
      </c>
      <c r="D31" s="0" t="n">
        <v>1</v>
      </c>
      <c r="E31" s="0" t="n">
        <v>8</v>
      </c>
      <c r="F31" s="0" t="str">
        <f aca="false">B31</f>
        <v>16003 301</v>
      </c>
      <c r="G31" s="0" t="n">
        <f aca="false">ROUNDUP(MATCH(F31,keys!$A$1:$A$50,0)/16,0)</f>
        <v>2</v>
      </c>
    </row>
    <row r="32" customFormat="false" ht="15" hidden="false" customHeight="false" outlineLevel="0" collapsed="false">
      <c r="A32" s="0" t="n">
        <v>20250115</v>
      </c>
      <c r="B32" s="1" t="s">
        <v>46</v>
      </c>
      <c r="C32" s="1" t="s">
        <v>47</v>
      </c>
      <c r="D32" s="0" t="n">
        <v>1</v>
      </c>
      <c r="E32" s="0" t="n">
        <v>13</v>
      </c>
      <c r="F32" s="0" t="str">
        <f aca="false">B32</f>
        <v>16004 301</v>
      </c>
      <c r="G32" s="0" t="n">
        <f aca="false">ROUNDUP(MATCH(F32,keys!$A$1:$A$50,0)/16,0)</f>
        <v>2</v>
      </c>
    </row>
    <row r="33" customFormat="false" ht="15" hidden="false" customHeight="false" outlineLevel="0" collapsed="false">
      <c r="A33" s="0" t="n">
        <v>20250115</v>
      </c>
      <c r="B33" s="1" t="s">
        <v>46</v>
      </c>
      <c r="C33" s="1" t="s">
        <v>48</v>
      </c>
      <c r="D33" s="0" t="n">
        <v>1</v>
      </c>
      <c r="E33" s="0" t="n">
        <v>1</v>
      </c>
      <c r="F33" s="0" t="str">
        <f aca="false">B33</f>
        <v>16004 301</v>
      </c>
      <c r="G33" s="0" t="n">
        <f aca="false">ROUNDUP(MATCH(F33,keys!$A$1:$A$50,0)/16,0)</f>
        <v>2</v>
      </c>
    </row>
    <row r="34" customFormat="false" ht="15" hidden="false" customHeight="false" outlineLevel="0" collapsed="false">
      <c r="A34" s="0" t="n">
        <v>20250115</v>
      </c>
      <c r="B34" s="1" t="s">
        <v>49</v>
      </c>
      <c r="C34" s="1" t="s">
        <v>50</v>
      </c>
      <c r="D34" s="0" t="n">
        <v>1</v>
      </c>
      <c r="E34" s="0" t="n">
        <v>1</v>
      </c>
      <c r="F34" s="0" t="str">
        <f aca="false">B34</f>
        <v>16005 301</v>
      </c>
      <c r="G34" s="0" t="n">
        <f aca="false">ROUNDUP(MATCH(F34,keys!$A$1:$A$50,0)/16,0)</f>
        <v>2</v>
      </c>
    </row>
    <row r="35" customFormat="false" ht="15" hidden="false" customHeight="false" outlineLevel="0" collapsed="false">
      <c r="A35" s="0" t="n">
        <v>20250115</v>
      </c>
      <c r="B35" s="1" t="s">
        <v>51</v>
      </c>
      <c r="C35" s="1" t="s">
        <v>52</v>
      </c>
      <c r="D35" s="0" t="n">
        <v>1</v>
      </c>
      <c r="E35" s="0" t="n">
        <v>6</v>
      </c>
      <c r="F35" s="0" t="str">
        <f aca="false">B35</f>
        <v>16006 301</v>
      </c>
      <c r="G35" s="0" t="n">
        <f aca="false">ROUNDUP(MATCH(F35,keys!$A$1:$A$50,0)/16,0)</f>
        <v>2</v>
      </c>
    </row>
    <row r="36" customFormat="false" ht="15" hidden="false" customHeight="false" outlineLevel="0" collapsed="false">
      <c r="A36" s="0" t="n">
        <v>20250115</v>
      </c>
      <c r="B36" s="1" t="s">
        <v>51</v>
      </c>
      <c r="C36" s="1" t="s">
        <v>52</v>
      </c>
      <c r="D36" s="0" t="n">
        <v>1</v>
      </c>
      <c r="E36" s="0" t="n">
        <v>2</v>
      </c>
      <c r="F36" s="0" t="str">
        <f aca="false">B36</f>
        <v>16006 301</v>
      </c>
      <c r="G36" s="0" t="n">
        <f aca="false">ROUNDUP(MATCH(F36,keys!$A$1:$A$50,0)/16,0)</f>
        <v>2</v>
      </c>
    </row>
    <row r="37" customFormat="false" ht="15" hidden="false" customHeight="false" outlineLevel="0" collapsed="false">
      <c r="A37" s="0" t="n">
        <v>20250115</v>
      </c>
      <c r="B37" s="1" t="s">
        <v>53</v>
      </c>
      <c r="C37" s="1" t="s">
        <v>48</v>
      </c>
      <c r="D37" s="0" t="n">
        <v>1</v>
      </c>
      <c r="E37" s="0" t="n">
        <v>11</v>
      </c>
      <c r="F37" s="0" t="str">
        <f aca="false">B37</f>
        <v>16007 301</v>
      </c>
      <c r="G37" s="0" t="n">
        <f aca="false">ROUNDUP(MATCH(F37,keys!$A$1:$A$50,0)/16,0)</f>
        <v>2</v>
      </c>
    </row>
    <row r="38" customFormat="false" ht="15" hidden="false" customHeight="false" outlineLevel="0" collapsed="false">
      <c r="A38" s="0" t="n">
        <v>20250115</v>
      </c>
      <c r="B38" s="1" t="s">
        <v>54</v>
      </c>
      <c r="C38" s="1" t="s">
        <v>8</v>
      </c>
      <c r="D38" s="0" t="n">
        <v>1</v>
      </c>
      <c r="E38" s="0" t="n">
        <v>16</v>
      </c>
      <c r="F38" s="0" t="str">
        <f aca="false">B38</f>
        <v>16008 301</v>
      </c>
      <c r="G38" s="0" t="n">
        <f aca="false">ROUNDUP(MATCH(F38,keys!$A$1:$A$50,0)/16,0)</f>
        <v>2</v>
      </c>
    </row>
    <row r="39" customFormat="false" ht="15" hidden="false" customHeight="false" outlineLevel="0" collapsed="false">
      <c r="A39" s="0" t="n">
        <v>20250115</v>
      </c>
      <c r="B39" s="1" t="s">
        <v>54</v>
      </c>
      <c r="C39" s="1" t="s">
        <v>12</v>
      </c>
      <c r="D39" s="0" t="n">
        <v>1</v>
      </c>
      <c r="E39" s="0" t="n">
        <v>13</v>
      </c>
      <c r="F39" s="0" t="str">
        <f aca="false">B39</f>
        <v>16008 301</v>
      </c>
      <c r="G39" s="0" t="n">
        <f aca="false">ROUNDUP(MATCH(F39,keys!$A$1:$A$50,0)/16,0)</f>
        <v>2</v>
      </c>
    </row>
    <row r="40" customFormat="false" ht="15" hidden="false" customHeight="false" outlineLevel="0" collapsed="false">
      <c r="A40" s="0" t="n">
        <v>20250115</v>
      </c>
      <c r="B40" s="1" t="s">
        <v>55</v>
      </c>
      <c r="C40" s="1" t="s">
        <v>20</v>
      </c>
      <c r="D40" s="0" t="n">
        <v>1</v>
      </c>
      <c r="E40" s="0" t="n">
        <v>4</v>
      </c>
      <c r="F40" s="0" t="str">
        <f aca="false">B40</f>
        <v>16009 301</v>
      </c>
      <c r="G40" s="0" t="n">
        <f aca="false">ROUNDUP(MATCH(F40,keys!$A$1:$A$50,0)/16,0)</f>
        <v>2</v>
      </c>
    </row>
    <row r="41" customFormat="false" ht="15" hidden="false" customHeight="false" outlineLevel="0" collapsed="false">
      <c r="A41" s="0" t="n">
        <v>20250115</v>
      </c>
      <c r="B41" s="1" t="s">
        <v>56</v>
      </c>
      <c r="C41" s="1" t="s">
        <v>22</v>
      </c>
      <c r="D41" s="0" t="n">
        <v>1</v>
      </c>
      <c r="E41" s="0" t="n">
        <v>9</v>
      </c>
      <c r="F41" s="0" t="str">
        <f aca="false">B41</f>
        <v>17001 301</v>
      </c>
      <c r="G41" s="0" t="n">
        <f aca="false">ROUNDUP(MATCH(F41,keys!$A$1:$A$50,0)/16,0)</f>
        <v>2</v>
      </c>
    </row>
    <row r="42" customFormat="false" ht="15" hidden="false" customHeight="false" outlineLevel="0" collapsed="false">
      <c r="A42" s="0" t="n">
        <v>20250115</v>
      </c>
      <c r="B42" s="1" t="s">
        <v>57</v>
      </c>
      <c r="C42" s="1" t="s">
        <v>12</v>
      </c>
      <c r="D42" s="0" t="n">
        <v>1</v>
      </c>
      <c r="E42" s="0" t="n">
        <v>14</v>
      </c>
      <c r="F42" s="0" t="str">
        <f aca="false">B42</f>
        <v>17002 301</v>
      </c>
      <c r="G42" s="0" t="n">
        <f aca="false">ROUNDUP(MATCH(F42,keys!$A$1:$A$50,0)/16,0)</f>
        <v>2</v>
      </c>
    </row>
    <row r="43" customFormat="false" ht="15" hidden="false" customHeight="false" outlineLevel="0" collapsed="false">
      <c r="A43" s="0" t="n">
        <v>20250115</v>
      </c>
      <c r="B43" s="1" t="s">
        <v>58</v>
      </c>
      <c r="C43" s="1" t="s">
        <v>25</v>
      </c>
      <c r="D43" s="0" t="n">
        <v>1</v>
      </c>
      <c r="E43" s="0" t="n">
        <v>2</v>
      </c>
      <c r="F43" s="0" t="str">
        <f aca="false">B43</f>
        <v>17003 301</v>
      </c>
      <c r="G43" s="0" t="n">
        <f aca="false">ROUNDUP(MATCH(F43,keys!$A$1:$A$50,0)/16,0)</f>
        <v>2</v>
      </c>
    </row>
    <row r="44" customFormat="false" ht="15" hidden="false" customHeight="false" outlineLevel="0" collapsed="false">
      <c r="A44" s="0" t="n">
        <v>20250115</v>
      </c>
      <c r="B44" s="1" t="s">
        <v>58</v>
      </c>
      <c r="C44" s="1" t="s">
        <v>26</v>
      </c>
      <c r="D44" s="0" t="n">
        <v>1</v>
      </c>
      <c r="E44" s="0" t="n">
        <v>9</v>
      </c>
      <c r="F44" s="0" t="str">
        <f aca="false">B44</f>
        <v>17003 301</v>
      </c>
      <c r="G44" s="0" t="n">
        <f aca="false">ROUNDUP(MATCH(F44,keys!$A$1:$A$50,0)/16,0)</f>
        <v>2</v>
      </c>
    </row>
    <row r="45" customFormat="false" ht="15" hidden="false" customHeight="false" outlineLevel="0" collapsed="false">
      <c r="A45" s="0" t="n">
        <v>20250115</v>
      </c>
      <c r="B45" s="1" t="s">
        <v>59</v>
      </c>
      <c r="C45" s="1" t="s">
        <v>28</v>
      </c>
      <c r="D45" s="0" t="n">
        <v>1</v>
      </c>
      <c r="E45" s="0" t="n">
        <v>7</v>
      </c>
      <c r="F45" s="0" t="str">
        <f aca="false">B45</f>
        <v>17004 301</v>
      </c>
      <c r="G45" s="0" t="n">
        <f aca="false">ROUNDUP(MATCH(F45,keys!$A$1:$A$50,0)/16,0)</f>
        <v>2</v>
      </c>
    </row>
    <row r="46" customFormat="false" ht="15" hidden="false" customHeight="false" outlineLevel="0" collapsed="false">
      <c r="A46" s="0" t="n">
        <v>20250115</v>
      </c>
      <c r="B46" s="1" t="s">
        <v>60</v>
      </c>
      <c r="C46" s="1" t="s">
        <v>15</v>
      </c>
      <c r="D46" s="0" t="n">
        <v>1</v>
      </c>
      <c r="E46" s="0" t="n">
        <v>12</v>
      </c>
      <c r="F46" s="0" t="str">
        <f aca="false">B46</f>
        <v>17005 301</v>
      </c>
      <c r="G46" s="0" t="n">
        <f aca="false">ROUNDUP(MATCH(F46,keys!$A$1:$A$50,0)/16,0)</f>
        <v>2</v>
      </c>
    </row>
    <row r="47" customFormat="false" ht="15" hidden="false" customHeight="false" outlineLevel="0" collapsed="false">
      <c r="A47" s="0" t="n">
        <v>20250115</v>
      </c>
      <c r="B47" s="1" t="s">
        <v>61</v>
      </c>
      <c r="C47" s="1" t="s">
        <v>26</v>
      </c>
      <c r="D47" s="0" t="n">
        <v>1</v>
      </c>
      <c r="E47" s="0" t="n">
        <v>17</v>
      </c>
      <c r="F47" s="0" t="str">
        <f aca="false">B47</f>
        <v>17006 301</v>
      </c>
      <c r="G47" s="0" t="n">
        <f aca="false">ROUNDUP(MATCH(F47,keys!$A$1:$A$50,0)/16,0)</f>
        <v>2</v>
      </c>
    </row>
    <row r="48" customFormat="false" ht="15" hidden="false" customHeight="false" outlineLevel="0" collapsed="false">
      <c r="A48" s="0" t="n">
        <v>20250115</v>
      </c>
      <c r="B48" s="1" t="s">
        <v>61</v>
      </c>
      <c r="C48" s="1" t="s">
        <v>26</v>
      </c>
      <c r="D48" s="0" t="n">
        <v>1</v>
      </c>
      <c r="E48" s="0" t="n">
        <v>2</v>
      </c>
      <c r="F48" s="0" t="str">
        <f aca="false">B48</f>
        <v>17006 301</v>
      </c>
      <c r="G48" s="0" t="n">
        <f aca="false">ROUNDUP(MATCH(F48,keys!$A$1:$A$50,0)/16,0)</f>
        <v>2</v>
      </c>
    </row>
    <row r="49" customFormat="false" ht="15" hidden="false" customHeight="false" outlineLevel="0" collapsed="false">
      <c r="A49" s="0" t="n">
        <v>20250115</v>
      </c>
      <c r="B49" s="1" t="s">
        <v>62</v>
      </c>
      <c r="C49" s="1" t="s">
        <v>32</v>
      </c>
      <c r="D49" s="0" t="n">
        <v>1</v>
      </c>
      <c r="E49" s="0" t="n">
        <v>5</v>
      </c>
      <c r="F49" s="0" t="str">
        <f aca="false">B49</f>
        <v>17007 301</v>
      </c>
      <c r="G49" s="0" t="n">
        <f aca="false">ROUNDUP(MATCH(F49,keys!$A$1:$A$50,0)/16,0)</f>
        <v>2</v>
      </c>
    </row>
    <row r="50" customFormat="false" ht="15" hidden="false" customHeight="false" outlineLevel="0" collapsed="false">
      <c r="A50" s="0" t="n">
        <v>20250115</v>
      </c>
      <c r="B50" s="1" t="s">
        <v>62</v>
      </c>
      <c r="C50" s="1" t="s">
        <v>33</v>
      </c>
      <c r="D50" s="0" t="n">
        <v>1</v>
      </c>
      <c r="E50" s="0" t="n">
        <v>5</v>
      </c>
      <c r="F50" s="0" t="str">
        <f aca="false">B50</f>
        <v>17007 301</v>
      </c>
      <c r="G50" s="0" t="n">
        <f aca="false">ROUNDUP(MATCH(F50,keys!$A$1:$A$50,0)/16,0)</f>
        <v>2</v>
      </c>
    </row>
    <row r="51" customFormat="false" ht="15" hidden="false" customHeight="false" outlineLevel="0" collapsed="false">
      <c r="A51" s="0" t="n">
        <v>20250115</v>
      </c>
      <c r="B51" s="1" t="s">
        <v>63</v>
      </c>
      <c r="C51" s="1" t="s">
        <v>17</v>
      </c>
      <c r="D51" s="0" t="n">
        <v>1</v>
      </c>
      <c r="E51" s="0" t="n">
        <v>10</v>
      </c>
      <c r="F51" s="0" t="str">
        <f aca="false">B51</f>
        <v>17008 301</v>
      </c>
      <c r="G51" s="0" t="n">
        <f aca="false">ROUNDUP(MATCH(F51,keys!$A$1:$A$50,0)/16,0)</f>
        <v>2</v>
      </c>
    </row>
    <row r="52" customFormat="false" ht="15" hidden="false" customHeight="false" outlineLevel="0" collapsed="false">
      <c r="A52" s="0" t="n">
        <v>20250115</v>
      </c>
      <c r="B52" s="1" t="s">
        <v>64</v>
      </c>
      <c r="C52" s="1" t="s">
        <v>36</v>
      </c>
      <c r="D52" s="0" t="n">
        <v>1</v>
      </c>
      <c r="E52" s="0" t="n">
        <v>15</v>
      </c>
      <c r="F52" s="0" t="str">
        <f aca="false">B52</f>
        <v>17009 301</v>
      </c>
      <c r="G52" s="0" t="n">
        <f aca="false">ROUNDUP(MATCH(F52,keys!$A$1:$A$50,0)/16,0)</f>
        <v>3</v>
      </c>
    </row>
    <row r="53" customFormat="false" ht="15" hidden="false" customHeight="false" outlineLevel="0" collapsed="false">
      <c r="A53" s="0" t="n">
        <v>20250115</v>
      </c>
      <c r="B53" s="1" t="s">
        <v>65</v>
      </c>
      <c r="C53" s="1" t="s">
        <v>33</v>
      </c>
      <c r="D53" s="0" t="n">
        <v>1</v>
      </c>
      <c r="E53" s="0" t="n">
        <v>3</v>
      </c>
      <c r="F53" s="0" t="str">
        <f aca="false">B53</f>
        <v>18001 301</v>
      </c>
      <c r="G53" s="0" t="n">
        <f aca="false">ROUNDUP(MATCH(F53,keys!$A$1:$A$50,0)/16,0)</f>
        <v>3</v>
      </c>
    </row>
    <row r="54" customFormat="false" ht="15" hidden="false" customHeight="false" outlineLevel="0" collapsed="false">
      <c r="A54" s="0" t="n">
        <v>20250115</v>
      </c>
      <c r="B54" s="1" t="s">
        <v>66</v>
      </c>
      <c r="C54" s="1" t="s">
        <v>39</v>
      </c>
      <c r="D54" s="0" t="n">
        <v>1</v>
      </c>
      <c r="E54" s="0" t="n">
        <v>8</v>
      </c>
      <c r="F54" s="0" t="str">
        <f aca="false">B54</f>
        <v>18002 301</v>
      </c>
      <c r="G54" s="0" t="n">
        <f aca="false">ROUNDUP(MATCH(F54,keys!$A$1:$A$50,0)/16,0)</f>
        <v>3</v>
      </c>
    </row>
    <row r="55" customFormat="false" ht="15" hidden="false" customHeight="false" outlineLevel="0" collapsed="false">
      <c r="A55" s="0" t="n">
        <v>20250115</v>
      </c>
      <c r="B55" s="1" t="s">
        <v>66</v>
      </c>
      <c r="C55" s="1" t="s">
        <v>40</v>
      </c>
      <c r="D55" s="0" t="n">
        <v>1</v>
      </c>
      <c r="E55" s="0" t="n">
        <v>1</v>
      </c>
      <c r="F55" s="0" t="str">
        <f aca="false">B55</f>
        <v>18002 301</v>
      </c>
      <c r="G55" s="0" t="n">
        <f aca="false">ROUNDUP(MATCH(F55,keys!$A$1:$A$50,0)/16,0)</f>
        <v>3</v>
      </c>
    </row>
    <row r="56" customFormat="false" ht="15" hidden="false" customHeight="false" outlineLevel="0" collapsed="false">
      <c r="A56" s="0" t="n">
        <v>20250115</v>
      </c>
      <c r="B56" s="1" t="s">
        <v>67</v>
      </c>
      <c r="C56" s="1" t="s">
        <v>42</v>
      </c>
      <c r="D56" s="0" t="n">
        <v>1</v>
      </c>
      <c r="E56" s="0" t="n">
        <v>13</v>
      </c>
      <c r="F56" s="0" t="str">
        <f aca="false">B56</f>
        <v>18003 301</v>
      </c>
      <c r="G56" s="0" t="n">
        <f aca="false">ROUNDUP(MATCH(F56,keys!$A$1:$A$50,0)/16,0)</f>
        <v>3</v>
      </c>
    </row>
    <row r="57" customFormat="false" ht="15" hidden="false" customHeight="false" outlineLevel="0" collapsed="false">
      <c r="A57" s="0" t="n">
        <v>20250115</v>
      </c>
      <c r="B57" s="1" t="s">
        <v>68</v>
      </c>
      <c r="C57" s="1" t="s">
        <v>44</v>
      </c>
      <c r="D57" s="0" t="n">
        <v>1</v>
      </c>
      <c r="E57" s="0" t="n">
        <v>1</v>
      </c>
      <c r="F57" s="0" t="str">
        <f aca="false">B57</f>
        <v>18004 301</v>
      </c>
      <c r="G57" s="0" t="n">
        <f aca="false">ROUNDUP(MATCH(F57,keys!$A$1:$A$50,0)/16,0)</f>
        <v>3</v>
      </c>
    </row>
    <row r="58" customFormat="false" ht="15" hidden="false" customHeight="false" outlineLevel="0" collapsed="false">
      <c r="A58" s="0" t="n">
        <v>20250115</v>
      </c>
      <c r="B58" s="1" t="s">
        <v>69</v>
      </c>
      <c r="C58" s="1" t="s">
        <v>40</v>
      </c>
      <c r="D58" s="0" t="n">
        <v>1</v>
      </c>
      <c r="E58" s="0" t="n">
        <v>6</v>
      </c>
      <c r="F58" s="0" t="str">
        <f aca="false">B58</f>
        <v>18005 301</v>
      </c>
      <c r="G58" s="0" t="n">
        <f aca="false">ROUNDUP(MATCH(F58,keys!$A$1:$A$50,0)/16,0)</f>
        <v>3</v>
      </c>
    </row>
    <row r="59" customFormat="false" ht="15" hidden="false" customHeight="false" outlineLevel="0" collapsed="false">
      <c r="A59" s="0" t="n">
        <v>20250115</v>
      </c>
      <c r="B59" s="1" t="s">
        <v>70</v>
      </c>
      <c r="C59" s="1" t="s">
        <v>47</v>
      </c>
      <c r="D59" s="0" t="n">
        <v>1</v>
      </c>
      <c r="E59" s="0" t="n">
        <v>11</v>
      </c>
      <c r="F59" s="0" t="str">
        <f aca="false">B59</f>
        <v>18006 301</v>
      </c>
      <c r="G59" s="0" t="n">
        <f aca="false">ROUNDUP(MATCH(F59,keys!$A$1:$A$50,0)/16,0)</f>
        <v>3</v>
      </c>
    </row>
    <row r="60" customFormat="false" ht="15" hidden="false" customHeight="false" outlineLevel="0" collapsed="false">
      <c r="A60" s="0" t="n">
        <v>20250115</v>
      </c>
      <c r="B60" s="1" t="s">
        <v>70</v>
      </c>
      <c r="C60" s="1" t="s">
        <v>48</v>
      </c>
      <c r="D60" s="0" t="n">
        <v>1</v>
      </c>
      <c r="E60" s="0" t="n">
        <v>13</v>
      </c>
      <c r="F60" s="0" t="str">
        <f aca="false">B60</f>
        <v>18006 301</v>
      </c>
      <c r="G60" s="0" t="n">
        <f aca="false">ROUNDUP(MATCH(F60,keys!$A$1:$A$50,0)/16,0)</f>
        <v>3</v>
      </c>
    </row>
    <row r="61" customFormat="false" ht="15" hidden="false" customHeight="false" outlineLevel="0" collapsed="false">
      <c r="A61" s="0" t="n">
        <v>20250115</v>
      </c>
      <c r="B61" s="1" t="s">
        <v>70</v>
      </c>
      <c r="C61" s="1" t="s">
        <v>47</v>
      </c>
      <c r="D61" s="0" t="n">
        <v>1</v>
      </c>
      <c r="E61" s="0" t="n">
        <v>2</v>
      </c>
      <c r="F61" s="0" t="str">
        <f aca="false">B61</f>
        <v>18006 301</v>
      </c>
      <c r="G61" s="0" t="n">
        <f aca="false">ROUNDUP(MATCH(F61,keys!$A$1:$A$50,0)/16,0)</f>
        <v>3</v>
      </c>
    </row>
    <row r="62" customFormat="false" ht="15" hidden="false" customHeight="false" outlineLevel="0" collapsed="false">
      <c r="A62" s="0" t="n">
        <v>20250115</v>
      </c>
      <c r="B62" s="1" t="s">
        <v>71</v>
      </c>
      <c r="C62" s="1" t="s">
        <v>50</v>
      </c>
      <c r="D62" s="0" t="n">
        <v>1</v>
      </c>
      <c r="E62" s="0" t="n">
        <v>16</v>
      </c>
      <c r="F62" s="0" t="str">
        <f aca="false">B62</f>
        <v>18007 301</v>
      </c>
      <c r="G62" s="0" t="n">
        <f aca="false">ROUNDUP(MATCH(F62,keys!$A$1:$A$50,0)/16,0)</f>
        <v>3</v>
      </c>
    </row>
    <row r="63" customFormat="false" ht="15" hidden="false" customHeight="false" outlineLevel="0" collapsed="false">
      <c r="A63" s="0" t="n">
        <v>20250115</v>
      </c>
      <c r="B63" s="1" t="s">
        <v>72</v>
      </c>
      <c r="C63" s="1" t="s">
        <v>52</v>
      </c>
      <c r="D63" s="0" t="n">
        <v>1</v>
      </c>
      <c r="E63" s="0" t="n">
        <v>4</v>
      </c>
      <c r="F63" s="0" t="str">
        <f aca="false">B63</f>
        <v>18008 301</v>
      </c>
      <c r="G63" s="0" t="n">
        <f aca="false">ROUNDUP(MATCH(F63,keys!$A$1:$A$50,0)/16,0)</f>
        <v>3</v>
      </c>
    </row>
    <row r="64" customFormat="false" ht="15" hidden="false" customHeight="false" outlineLevel="0" collapsed="false">
      <c r="A64" s="0" t="n">
        <v>20250115</v>
      </c>
      <c r="B64" s="1" t="s">
        <v>73</v>
      </c>
      <c r="C64" s="1" t="s">
        <v>48</v>
      </c>
      <c r="D64" s="0" t="n">
        <v>1</v>
      </c>
      <c r="E64" s="0" t="n">
        <v>9</v>
      </c>
      <c r="F64" s="0" t="str">
        <f aca="false">B64</f>
        <v>18009 301</v>
      </c>
      <c r="G64" s="0" t="n">
        <f aca="false">ROUNDUP(MATCH(F64,keys!$A$1:$A$50,0)/16,0)</f>
        <v>3</v>
      </c>
    </row>
    <row r="65" customFormat="false" ht="15" hidden="false" customHeight="false" outlineLevel="0" collapsed="false">
      <c r="A65" s="0" t="n">
        <v>20250115</v>
      </c>
      <c r="B65" s="1" t="s">
        <v>74</v>
      </c>
      <c r="C65" s="1" t="s">
        <v>8</v>
      </c>
      <c r="D65" s="0" t="n">
        <v>1</v>
      </c>
      <c r="E65" s="0" t="n">
        <v>14</v>
      </c>
      <c r="F65" s="0" t="str">
        <f aca="false">B65</f>
        <v>19001 301</v>
      </c>
      <c r="G65" s="0" t="n">
        <f aca="false">ROUNDUP(MATCH(F65,keys!$A$1:$A$50,0)/16,0)</f>
        <v>3</v>
      </c>
    </row>
    <row r="66" customFormat="false" ht="15" hidden="false" customHeight="false" outlineLevel="0" collapsed="false">
      <c r="A66" s="0" t="n">
        <v>20250115</v>
      </c>
      <c r="B66" s="1" t="s">
        <v>74</v>
      </c>
      <c r="C66" s="1" t="s">
        <v>12</v>
      </c>
      <c r="D66" s="0" t="n">
        <v>1</v>
      </c>
      <c r="E66" s="0" t="n">
        <v>9</v>
      </c>
      <c r="F66" s="0" t="str">
        <f aca="false">B66</f>
        <v>19001 301</v>
      </c>
      <c r="G66" s="0" t="n">
        <f aca="false">ROUNDUP(MATCH(F66,keys!$A$1:$A$50,0)/16,0)</f>
        <v>3</v>
      </c>
    </row>
    <row r="67" customFormat="false" ht="15" hidden="false" customHeight="false" outlineLevel="0" collapsed="false">
      <c r="A67" s="0" t="n">
        <v>20250115</v>
      </c>
      <c r="B67" s="1" t="s">
        <v>75</v>
      </c>
      <c r="C67" s="1" t="s">
        <v>20</v>
      </c>
      <c r="D67" s="0" t="n">
        <v>1</v>
      </c>
      <c r="E67" s="0" t="n">
        <v>2</v>
      </c>
      <c r="F67" s="0" t="str">
        <f aca="false">B67</f>
        <v>19002 301</v>
      </c>
      <c r="G67" s="0" t="n">
        <f aca="false">ROUNDUP(MATCH(F67,keys!$A$1:$A$50,0)/16,0)</f>
        <v>3</v>
      </c>
    </row>
    <row r="68" customFormat="false" ht="15" hidden="false" customHeight="false" outlineLevel="0" collapsed="false">
      <c r="A68" s="0" t="n">
        <v>20250115</v>
      </c>
      <c r="B68" s="1" t="s">
        <v>76</v>
      </c>
      <c r="C68" s="1" t="s">
        <v>22</v>
      </c>
      <c r="D68" s="0" t="n">
        <v>1</v>
      </c>
      <c r="E68" s="0" t="n">
        <v>7</v>
      </c>
      <c r="F68" s="0" t="str">
        <f aca="false">B68</f>
        <v>19003 301</v>
      </c>
      <c r="G68" s="0" t="n">
        <f aca="false">ROUNDUP(MATCH(F68,keys!$A$1:$A$50,0)/16,0)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7</v>
      </c>
    </row>
    <row r="2" customFormat="false" ht="15" hidden="false" customHeight="false" outlineLevel="0" collapsed="false">
      <c r="A2" s="1" t="s">
        <v>9</v>
      </c>
    </row>
    <row r="3" customFormat="false" ht="15" hidden="false" customHeight="false" outlineLevel="0" collapsed="false">
      <c r="A3" s="1" t="s">
        <v>18</v>
      </c>
    </row>
    <row r="4" customFormat="false" ht="15" hidden="false" customHeight="false" outlineLevel="0" collapsed="false">
      <c r="A4" s="1" t="s">
        <v>19</v>
      </c>
    </row>
    <row r="5" customFormat="false" ht="15" hidden="false" customHeight="false" outlineLevel="0" collapsed="false">
      <c r="A5" s="1" t="s">
        <v>21</v>
      </c>
    </row>
    <row r="6" customFormat="false" ht="15" hidden="false" customHeight="false" outlineLevel="0" collapsed="false">
      <c r="A6" s="1" t="s">
        <v>23</v>
      </c>
    </row>
    <row r="7" customFormat="false" ht="15" hidden="false" customHeight="false" outlineLevel="0" collapsed="false">
      <c r="A7" s="1" t="s">
        <v>24</v>
      </c>
    </row>
    <row r="8" customFormat="false" ht="15" hidden="false" customHeight="false" outlineLevel="0" collapsed="false">
      <c r="A8" s="1" t="s">
        <v>27</v>
      </c>
    </row>
    <row r="9" customFormat="false" ht="15" hidden="false" customHeight="false" outlineLevel="0" collapsed="false">
      <c r="A9" s="1" t="s">
        <v>29</v>
      </c>
    </row>
    <row r="10" customFormat="false" ht="15" hidden="false" customHeight="false" outlineLevel="0" collapsed="false">
      <c r="A10" s="1" t="s">
        <v>30</v>
      </c>
    </row>
    <row r="11" customFormat="false" ht="15" hidden="false" customHeight="false" outlineLevel="0" collapsed="false">
      <c r="A11" s="1" t="s">
        <v>31</v>
      </c>
    </row>
    <row r="12" customFormat="false" ht="15" hidden="false" customHeight="false" outlineLevel="0" collapsed="false">
      <c r="A12" s="1" t="s">
        <v>34</v>
      </c>
    </row>
    <row r="13" customFormat="false" ht="15" hidden="false" customHeight="false" outlineLevel="0" collapsed="false">
      <c r="A13" s="1" t="s">
        <v>35</v>
      </c>
    </row>
    <row r="14" customFormat="false" ht="15" hidden="false" customHeight="false" outlineLevel="0" collapsed="false">
      <c r="A14" s="1" t="s">
        <v>37</v>
      </c>
    </row>
    <row r="15" customFormat="false" ht="15" hidden="false" customHeight="false" outlineLevel="0" collapsed="false">
      <c r="A15" s="1" t="s">
        <v>38</v>
      </c>
    </row>
    <row r="16" customFormat="false" ht="15" hidden="false" customHeight="false" outlineLevel="0" collapsed="false">
      <c r="A16" s="1" t="s">
        <v>41</v>
      </c>
    </row>
    <row r="17" customFormat="false" ht="15" hidden="false" customHeight="false" outlineLevel="0" collapsed="false">
      <c r="A17" s="1" t="s">
        <v>43</v>
      </c>
    </row>
    <row r="18" customFormat="false" ht="15" hidden="false" customHeight="false" outlineLevel="0" collapsed="false">
      <c r="A18" s="1" t="s">
        <v>45</v>
      </c>
    </row>
    <row r="19" customFormat="false" ht="15" hidden="false" customHeight="false" outlineLevel="0" collapsed="false">
      <c r="A19" s="1" t="s">
        <v>46</v>
      </c>
    </row>
    <row r="20" customFormat="false" ht="15" hidden="false" customHeight="false" outlineLevel="0" collapsed="false">
      <c r="A20" s="1" t="s">
        <v>49</v>
      </c>
    </row>
    <row r="21" customFormat="false" ht="15" hidden="false" customHeight="false" outlineLevel="0" collapsed="false">
      <c r="A21" s="1" t="s">
        <v>51</v>
      </c>
    </row>
    <row r="22" customFormat="false" ht="15" hidden="false" customHeight="false" outlineLevel="0" collapsed="false">
      <c r="A22" s="1" t="s">
        <v>53</v>
      </c>
    </row>
    <row r="23" customFormat="false" ht="15" hidden="false" customHeight="false" outlineLevel="0" collapsed="false">
      <c r="A23" s="1" t="s">
        <v>54</v>
      </c>
    </row>
    <row r="24" customFormat="false" ht="15" hidden="false" customHeight="false" outlineLevel="0" collapsed="false">
      <c r="A24" s="1" t="s">
        <v>55</v>
      </c>
    </row>
    <row r="25" customFormat="false" ht="15" hidden="false" customHeight="false" outlineLevel="0" collapsed="false">
      <c r="A25" s="1" t="s">
        <v>56</v>
      </c>
    </row>
    <row r="26" customFormat="false" ht="15" hidden="false" customHeight="false" outlineLevel="0" collapsed="false">
      <c r="A26" s="1" t="s">
        <v>57</v>
      </c>
    </row>
    <row r="27" customFormat="false" ht="15" hidden="false" customHeight="false" outlineLevel="0" collapsed="false">
      <c r="A27" s="1" t="s">
        <v>58</v>
      </c>
    </row>
    <row r="28" customFormat="false" ht="15" hidden="false" customHeight="false" outlineLevel="0" collapsed="false">
      <c r="A28" s="1" t="s">
        <v>59</v>
      </c>
    </row>
    <row r="29" customFormat="false" ht="15" hidden="false" customHeight="false" outlineLevel="0" collapsed="false">
      <c r="A29" s="1" t="s">
        <v>60</v>
      </c>
    </row>
    <row r="30" customFormat="false" ht="15" hidden="false" customHeight="false" outlineLevel="0" collapsed="false">
      <c r="A30" s="1" t="s">
        <v>61</v>
      </c>
    </row>
    <row r="31" customFormat="false" ht="15" hidden="false" customHeight="false" outlineLevel="0" collapsed="false">
      <c r="A31" s="1" t="s">
        <v>62</v>
      </c>
    </row>
    <row r="32" customFormat="false" ht="15" hidden="false" customHeight="false" outlineLevel="0" collapsed="false">
      <c r="A32" s="1" t="s">
        <v>63</v>
      </c>
    </row>
    <row r="33" customFormat="false" ht="15" hidden="false" customHeight="false" outlineLevel="0" collapsed="false">
      <c r="A33" s="1" t="s">
        <v>64</v>
      </c>
    </row>
    <row r="34" customFormat="false" ht="15" hidden="false" customHeight="false" outlineLevel="0" collapsed="false">
      <c r="A34" s="1" t="s">
        <v>65</v>
      </c>
    </row>
    <row r="35" customFormat="false" ht="15" hidden="false" customHeight="false" outlineLevel="0" collapsed="false">
      <c r="A35" s="1" t="s">
        <v>66</v>
      </c>
    </row>
    <row r="36" customFormat="false" ht="15" hidden="false" customHeight="false" outlineLevel="0" collapsed="false">
      <c r="A36" s="1" t="s">
        <v>67</v>
      </c>
    </row>
    <row r="37" customFormat="false" ht="15" hidden="false" customHeight="false" outlineLevel="0" collapsed="false">
      <c r="A37" s="1" t="s">
        <v>68</v>
      </c>
    </row>
    <row r="38" customFormat="false" ht="15" hidden="false" customHeight="false" outlineLevel="0" collapsed="false">
      <c r="A38" s="1" t="s">
        <v>69</v>
      </c>
    </row>
    <row r="39" customFormat="false" ht="15" hidden="false" customHeight="false" outlineLevel="0" collapsed="false">
      <c r="A39" s="1" t="s">
        <v>70</v>
      </c>
    </row>
    <row r="40" customFormat="false" ht="15" hidden="false" customHeight="false" outlineLevel="0" collapsed="false">
      <c r="A40" s="1" t="s">
        <v>71</v>
      </c>
    </row>
    <row r="41" customFormat="false" ht="15" hidden="false" customHeight="false" outlineLevel="0" collapsed="false">
      <c r="A41" s="1" t="s">
        <v>72</v>
      </c>
    </row>
    <row r="42" customFormat="false" ht="15" hidden="false" customHeight="false" outlineLevel="0" collapsed="false">
      <c r="A42" s="1" t="s">
        <v>73</v>
      </c>
    </row>
    <row r="43" customFormat="false" ht="15" hidden="false" customHeight="false" outlineLevel="0" collapsed="false">
      <c r="A43" s="1" t="s">
        <v>74</v>
      </c>
    </row>
    <row r="44" customFormat="false" ht="15" hidden="false" customHeight="false" outlineLevel="0" collapsed="false">
      <c r="A44" s="1" t="s">
        <v>75</v>
      </c>
    </row>
    <row r="45" customFormat="false" ht="15" hidden="false" customHeight="false" outlineLevel="0" collapsed="false">
      <c r="A45" s="1" t="s">
        <v>76</v>
      </c>
    </row>
    <row r="46" customFormat="false" ht="15" hidden="false" customHeight="false" outlineLevel="0" collapsed="false">
      <c r="A46" s="1" t="s">
        <v>10</v>
      </c>
    </row>
    <row r="47" customFormat="false" ht="15" hidden="false" customHeight="false" outlineLevel="0" collapsed="false">
      <c r="A47" s="1" t="s">
        <v>14</v>
      </c>
    </row>
    <row r="48" customFormat="false" ht="15" hidden="false" customHeight="false" outlineLevel="0" collapsed="false">
      <c r="A48" s="1" t="s">
        <v>11</v>
      </c>
    </row>
    <row r="49" customFormat="false" ht="15" hidden="false" customHeight="false" outlineLevel="0" collapsed="false">
      <c r="A49" s="1" t="s">
        <v>13</v>
      </c>
    </row>
    <row r="50" customFormat="false" ht="15" hidden="false" customHeight="false" outlineLevel="0" collapsed="false">
      <c r="A50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</v>
      </c>
      <c r="B1" s="0" t="s">
        <v>2</v>
      </c>
      <c r="C1" s="1" t="s">
        <v>77</v>
      </c>
      <c r="D1" s="0" t="s">
        <v>78</v>
      </c>
    </row>
    <row r="2" customFormat="false" ht="15" hidden="false" customHeight="false" outlineLevel="0" collapsed="false">
      <c r="A2" s="0" t="n">
        <v>1</v>
      </c>
      <c r="B2" s="1" t="s">
        <v>8</v>
      </c>
      <c r="C2" s="0" t="n">
        <f aca="false">SUMIFS(data!$E$2:$E$68,data!$G$2:$G$68,A2,data!$C$2:$C$68,B2)</f>
        <v>19</v>
      </c>
      <c r="D2" s="0" t="n">
        <f aca="false">ROUNDUP(C2/15,0)</f>
        <v>2</v>
      </c>
    </row>
    <row r="3" customFormat="false" ht="15" hidden="false" customHeight="false" outlineLevel="0" collapsed="false">
      <c r="A3" s="0" t="n">
        <v>1</v>
      </c>
      <c r="B3" s="1" t="s">
        <v>12</v>
      </c>
      <c r="C3" s="0" t="n">
        <f aca="false">SUMIFS(data!$E$2:$E$68,data!$G$2:$G$68,A3,data!$C$2:$C$68,B3)</f>
        <v>17</v>
      </c>
      <c r="D3" s="0" t="n">
        <f aca="false">ROUNDUP(C3/15,0)</f>
        <v>2</v>
      </c>
    </row>
    <row r="4" customFormat="false" ht="15" hidden="false" customHeight="false" outlineLevel="0" collapsed="false">
      <c r="A4" s="0" t="n">
        <v>1</v>
      </c>
      <c r="B4" s="1" t="s">
        <v>15</v>
      </c>
      <c r="C4" s="0" t="n">
        <f aca="false">SUMIFS(data!$E$2:$E$68,data!$G$2:$G$68,A4,data!$C$2:$C$68,B4)</f>
        <v>14</v>
      </c>
      <c r="D4" s="0" t="n">
        <f aca="false">ROUNDUP(C4/15,0)</f>
        <v>1</v>
      </c>
    </row>
    <row r="5" customFormat="false" ht="15" hidden="false" customHeight="false" outlineLevel="0" collapsed="false">
      <c r="A5" s="0" t="n">
        <v>1</v>
      </c>
      <c r="B5" s="1" t="s">
        <v>17</v>
      </c>
      <c r="C5" s="0" t="n">
        <f aca="false">SUMIFS(data!$E$2:$E$68,data!$G$2:$G$68,A5,data!$C$2:$C$68,B5)</f>
        <v>14</v>
      </c>
      <c r="D5" s="0" t="n">
        <f aca="false">ROUNDUP(C5/15,0)</f>
        <v>1</v>
      </c>
    </row>
    <row r="6" customFormat="false" ht="15" hidden="false" customHeight="false" outlineLevel="0" collapsed="false">
      <c r="A6" s="0" t="n">
        <v>1</v>
      </c>
      <c r="B6" s="1" t="s">
        <v>39</v>
      </c>
      <c r="C6" s="0" t="n">
        <f aca="false">SUMIFS(data!$E$2:$E$68,data!$G$2:$G$68,A6,data!$C$2:$C$68,B6)</f>
        <v>10</v>
      </c>
      <c r="D6" s="0" t="n">
        <f aca="false">ROUNDUP(C6/15,0)</f>
        <v>1</v>
      </c>
    </row>
    <row r="7" customFormat="false" ht="15" hidden="false" customHeight="false" outlineLevel="0" collapsed="false">
      <c r="A7" s="0" t="n">
        <v>1</v>
      </c>
      <c r="B7" s="1" t="s">
        <v>40</v>
      </c>
      <c r="C7" s="0" t="n">
        <f aca="false">SUMIFS(data!$E$2:$E$68,data!$G$2:$G$68,A7,data!$C$2:$C$68,B7)</f>
        <v>5</v>
      </c>
      <c r="D7" s="0" t="n">
        <f aca="false">ROUNDUP(C7/15,0)</f>
        <v>1</v>
      </c>
    </row>
    <row r="8" customFormat="false" ht="15" hidden="false" customHeight="false" outlineLevel="0" collapsed="false">
      <c r="A8" s="0" t="n">
        <v>1</v>
      </c>
      <c r="B8" s="1" t="s">
        <v>20</v>
      </c>
      <c r="C8" s="0" t="n">
        <f aca="false">SUMIFS(data!$E$2:$E$68,data!$G$2:$G$68,A8,data!$C$2:$C$68,B8)</f>
        <v>6</v>
      </c>
      <c r="D8" s="0" t="n">
        <f aca="false">ROUNDUP(C8/15,0)</f>
        <v>1</v>
      </c>
    </row>
    <row r="9" customFormat="false" ht="15" hidden="false" customHeight="false" outlineLevel="0" collapsed="false">
      <c r="A9" s="0" t="n">
        <v>1</v>
      </c>
      <c r="B9" s="1" t="s">
        <v>25</v>
      </c>
      <c r="C9" s="0" t="n">
        <f aca="false">SUMIFS(data!$E$2:$E$68,data!$G$2:$G$68,A9,data!$C$2:$C$68,B9)</f>
        <v>4</v>
      </c>
      <c r="D9" s="0" t="n">
        <f aca="false">ROUNDUP(C9/15,0)</f>
        <v>1</v>
      </c>
    </row>
    <row r="10" customFormat="false" ht="15" hidden="false" customHeight="false" outlineLevel="0" collapsed="false">
      <c r="A10" s="0" t="n">
        <v>1</v>
      </c>
      <c r="B10" s="1" t="s">
        <v>26</v>
      </c>
      <c r="C10" s="0" t="n">
        <f aca="false">SUMIFS(data!$E$2:$E$68,data!$G$2:$G$68,A10,data!$C$2:$C$68,B10)</f>
        <v>15</v>
      </c>
      <c r="D10" s="0" t="n">
        <f aca="false">ROUNDUP(C10/15,0)</f>
        <v>1</v>
      </c>
    </row>
    <row r="11" customFormat="false" ht="15" hidden="false" customHeight="false" outlineLevel="0" collapsed="false">
      <c r="A11" s="0" t="n">
        <v>1</v>
      </c>
      <c r="B11" s="1" t="s">
        <v>36</v>
      </c>
      <c r="C11" s="0" t="n">
        <f aca="false">SUMIFS(data!$E$2:$E$68,data!$G$2:$G$68,A11,data!$C$2:$C$68,B11)</f>
        <v>17</v>
      </c>
      <c r="D11" s="0" t="n">
        <f aca="false">ROUNDUP(C11/15,0)</f>
        <v>2</v>
      </c>
    </row>
    <row r="12" customFormat="false" ht="15" hidden="false" customHeight="false" outlineLevel="0" collapsed="false">
      <c r="A12" s="0" t="n">
        <v>1</v>
      </c>
      <c r="B12" s="1" t="s">
        <v>42</v>
      </c>
      <c r="C12" s="0" t="n">
        <f aca="false">SUMIFS(data!$E$2:$E$68,data!$G$2:$G$68,A12,data!$C$2:$C$68,B12)</f>
        <v>15</v>
      </c>
      <c r="D12" s="0" t="n">
        <f aca="false">ROUNDUP(C12/15,0)</f>
        <v>1</v>
      </c>
    </row>
    <row r="13" customFormat="false" ht="15" hidden="false" customHeight="false" outlineLevel="0" collapsed="false">
      <c r="A13" s="0" t="n">
        <v>1</v>
      </c>
      <c r="B13" s="1" t="s">
        <v>22</v>
      </c>
      <c r="C13" s="0" t="n">
        <f aca="false">SUMIFS(data!$E$2:$E$68,data!$G$2:$G$68,A13,data!$C$2:$C$68,B13)</f>
        <v>11</v>
      </c>
      <c r="D13" s="0" t="n">
        <f aca="false">ROUNDUP(C13/15,0)</f>
        <v>1</v>
      </c>
    </row>
    <row r="14" customFormat="false" ht="15" hidden="false" customHeight="false" outlineLevel="0" collapsed="false">
      <c r="A14" s="0" t="n">
        <v>1</v>
      </c>
      <c r="B14" s="1" t="s">
        <v>28</v>
      </c>
      <c r="C14" s="0" t="n">
        <f aca="false">SUMIFS(data!$E$2:$E$68,data!$G$2:$G$68,A14,data!$C$2:$C$68,B14)</f>
        <v>9</v>
      </c>
      <c r="D14" s="0" t="n">
        <f aca="false">ROUNDUP(C14/15,0)</f>
        <v>1</v>
      </c>
    </row>
    <row r="15" customFormat="false" ht="15" hidden="false" customHeight="false" outlineLevel="0" collapsed="false">
      <c r="A15" s="0" t="n">
        <v>1</v>
      </c>
      <c r="B15" s="1" t="s">
        <v>32</v>
      </c>
      <c r="C15" s="0" t="n">
        <f aca="false">SUMIFS(data!$E$2:$E$68,data!$G$2:$G$68,A15,data!$C$2:$C$68,B15)</f>
        <v>7</v>
      </c>
      <c r="D15" s="0" t="n">
        <f aca="false">ROUNDUP(C15/15,0)</f>
        <v>1</v>
      </c>
    </row>
    <row r="16" customFormat="false" ht="15" hidden="false" customHeight="false" outlineLevel="0" collapsed="false">
      <c r="A16" s="0" t="n">
        <v>1</v>
      </c>
      <c r="B16" s="1" t="s">
        <v>33</v>
      </c>
      <c r="C16" s="0" t="n">
        <f aca="false">SUMIFS(data!$E$2:$E$68,data!$G$2:$G$68,A16,data!$C$2:$C$68,B16)</f>
        <v>14</v>
      </c>
      <c r="D16" s="0" t="n">
        <f aca="false">ROUNDUP(C16/15,0)</f>
        <v>1</v>
      </c>
    </row>
    <row r="17" customFormat="false" ht="15" hidden="false" customHeight="false" outlineLevel="0" collapsed="false">
      <c r="A17" s="0" t="n">
        <v>2</v>
      </c>
      <c r="B17" s="1" t="s">
        <v>8</v>
      </c>
      <c r="C17" s="0" t="n">
        <f aca="false">SUMIFS(data!$E$2:$E$68,data!$G$2:$G$68,A17,data!$C$2:$C$68,B17)</f>
        <v>16</v>
      </c>
      <c r="D17" s="0" t="n">
        <f aca="false">ROUNDUP(C17/15,0)</f>
        <v>2</v>
      </c>
    </row>
    <row r="18" customFormat="false" ht="15" hidden="false" customHeight="false" outlineLevel="0" collapsed="false">
      <c r="A18" s="0" t="n">
        <v>2</v>
      </c>
      <c r="B18" s="1" t="s">
        <v>12</v>
      </c>
      <c r="C18" s="0" t="n">
        <f aca="false">SUMIFS(data!$E$2:$E$68,data!$G$2:$G$68,A18,data!$C$2:$C$68,B18)</f>
        <v>27</v>
      </c>
      <c r="D18" s="0" t="n">
        <f aca="false">ROUNDUP(C18/15,0)</f>
        <v>2</v>
      </c>
    </row>
    <row r="19" customFormat="false" ht="15" hidden="false" customHeight="false" outlineLevel="0" collapsed="false">
      <c r="A19" s="0" t="n">
        <v>2</v>
      </c>
      <c r="B19" s="1" t="s">
        <v>15</v>
      </c>
      <c r="C19" s="0" t="n">
        <f aca="false">SUMIFS(data!$E$2:$E$68,data!$G$2:$G$68,A19,data!$C$2:$C$68,B19)</f>
        <v>12</v>
      </c>
      <c r="D19" s="0" t="n">
        <f aca="false">ROUNDUP(C19/15,0)</f>
        <v>1</v>
      </c>
    </row>
    <row r="20" customFormat="false" ht="15" hidden="false" customHeight="false" outlineLevel="0" collapsed="false">
      <c r="A20" s="0" t="n">
        <v>2</v>
      </c>
      <c r="B20" s="1" t="s">
        <v>17</v>
      </c>
      <c r="C20" s="0" t="n">
        <f aca="false">SUMIFS(data!$E$2:$E$68,data!$G$2:$G$68,A20,data!$C$2:$C$68,B20)</f>
        <v>10</v>
      </c>
      <c r="D20" s="0" t="n">
        <f aca="false">ROUNDUP(C20/15,0)</f>
        <v>1</v>
      </c>
    </row>
    <row r="21" customFormat="false" ht="15" hidden="false" customHeight="false" outlineLevel="0" collapsed="false">
      <c r="A21" s="0" t="n">
        <v>2</v>
      </c>
      <c r="B21" s="1" t="s">
        <v>40</v>
      </c>
      <c r="C21" s="0" t="n">
        <f aca="false">SUMIFS(data!$E$2:$E$68,data!$G$2:$G$68,A21,data!$C$2:$C$68,B21)</f>
        <v>8</v>
      </c>
      <c r="D21" s="0" t="n">
        <f aca="false">ROUNDUP(C21/15,0)</f>
        <v>1</v>
      </c>
    </row>
    <row r="22" customFormat="false" ht="15" hidden="false" customHeight="false" outlineLevel="0" collapsed="false">
      <c r="A22" s="0" t="n">
        <v>2</v>
      </c>
      <c r="B22" s="1" t="s">
        <v>52</v>
      </c>
      <c r="C22" s="0" t="n">
        <f aca="false">SUMIFS(data!$E$2:$E$68,data!$G$2:$G$68,A22,data!$C$2:$C$68,B22)</f>
        <v>8</v>
      </c>
      <c r="D22" s="0" t="n">
        <f aca="false">ROUNDUP(C22/15,0)</f>
        <v>1</v>
      </c>
    </row>
    <row r="23" customFormat="false" ht="15" hidden="false" customHeight="false" outlineLevel="0" collapsed="false">
      <c r="A23" s="0" t="n">
        <v>2</v>
      </c>
      <c r="B23" s="1" t="s">
        <v>20</v>
      </c>
      <c r="C23" s="0" t="n">
        <f aca="false">SUMIFS(data!$E$2:$E$68,data!$G$2:$G$68,A23,data!$C$2:$C$68,B23)</f>
        <v>4</v>
      </c>
      <c r="D23" s="0" t="n">
        <f aca="false">ROUNDUP(C23/15,0)</f>
        <v>1</v>
      </c>
    </row>
    <row r="24" customFormat="false" ht="15" hidden="false" customHeight="false" outlineLevel="0" collapsed="false">
      <c r="A24" s="0" t="n">
        <v>2</v>
      </c>
      <c r="B24" s="1" t="s">
        <v>25</v>
      </c>
      <c r="C24" s="0" t="n">
        <f aca="false">SUMIFS(data!$E$2:$E$68,data!$G$2:$G$68,A24,data!$C$2:$C$68,B24)</f>
        <v>2</v>
      </c>
      <c r="D24" s="0" t="n">
        <f aca="false">ROUNDUP(C24/15,0)</f>
        <v>1</v>
      </c>
    </row>
    <row r="25" customFormat="false" ht="15" hidden="false" customHeight="false" outlineLevel="0" collapsed="false">
      <c r="A25" s="0" t="n">
        <v>2</v>
      </c>
      <c r="B25" s="1" t="s">
        <v>26</v>
      </c>
      <c r="C25" s="0" t="n">
        <f aca="false">SUMIFS(data!$E$2:$E$68,data!$G$2:$G$68,A25,data!$C$2:$C$68,B25)</f>
        <v>28</v>
      </c>
      <c r="D25" s="0" t="n">
        <f aca="false">ROUNDUP(C25/15,0)</f>
        <v>2</v>
      </c>
    </row>
    <row r="26" customFormat="false" ht="15" hidden="false" customHeight="false" outlineLevel="0" collapsed="false">
      <c r="A26" s="0" t="n">
        <v>2</v>
      </c>
      <c r="B26" s="1" t="s">
        <v>47</v>
      </c>
      <c r="C26" s="0" t="n">
        <f aca="false">SUMIFS(data!$E$2:$E$68,data!$G$2:$G$68,A26,data!$C$2:$C$68,B26)</f>
        <v>13</v>
      </c>
      <c r="D26" s="0" t="n">
        <f aca="false">ROUNDUP(C26/15,0)</f>
        <v>1</v>
      </c>
    </row>
    <row r="27" customFormat="false" ht="15" hidden="false" customHeight="false" outlineLevel="0" collapsed="false">
      <c r="A27" s="0" t="n">
        <v>2</v>
      </c>
      <c r="B27" s="1" t="s">
        <v>48</v>
      </c>
      <c r="C27" s="0" t="n">
        <f aca="false">SUMIFS(data!$E$2:$E$68,data!$G$2:$G$68,A27,data!$C$2:$C$68,B27)</f>
        <v>12</v>
      </c>
      <c r="D27" s="0" t="n">
        <f aca="false">ROUNDUP(C27/15,0)</f>
        <v>1</v>
      </c>
    </row>
    <row r="28" customFormat="false" ht="15" hidden="false" customHeight="false" outlineLevel="0" collapsed="false">
      <c r="A28" s="0" t="n">
        <v>2</v>
      </c>
      <c r="B28" s="1" t="s">
        <v>22</v>
      </c>
      <c r="C28" s="0" t="n">
        <f aca="false">SUMIFS(data!$E$2:$E$68,data!$G$2:$G$68,A28,data!$C$2:$C$68,B28)</f>
        <v>9</v>
      </c>
      <c r="D28" s="0" t="n">
        <f aca="false">ROUNDUP(C28/15,0)</f>
        <v>1</v>
      </c>
    </row>
    <row r="29" customFormat="false" ht="15" hidden="false" customHeight="false" outlineLevel="0" collapsed="false">
      <c r="A29" s="0" t="n">
        <v>2</v>
      </c>
      <c r="B29" s="1" t="s">
        <v>28</v>
      </c>
      <c r="C29" s="0" t="n">
        <f aca="false">SUMIFS(data!$E$2:$E$68,data!$G$2:$G$68,A29,data!$C$2:$C$68,B29)</f>
        <v>7</v>
      </c>
      <c r="D29" s="0" t="n">
        <f aca="false">ROUNDUP(C29/15,0)</f>
        <v>1</v>
      </c>
    </row>
    <row r="30" customFormat="false" ht="15" hidden="false" customHeight="false" outlineLevel="0" collapsed="false">
      <c r="A30" s="0" t="n">
        <v>2</v>
      </c>
      <c r="B30" s="1" t="s">
        <v>32</v>
      </c>
      <c r="C30" s="0" t="n">
        <f aca="false">SUMIFS(data!$E$2:$E$68,data!$G$2:$G$68,A30,data!$C$2:$C$68,B30)</f>
        <v>5</v>
      </c>
      <c r="D30" s="0" t="n">
        <f aca="false">ROUNDUP(C30/15,0)</f>
        <v>1</v>
      </c>
    </row>
    <row r="31" customFormat="false" ht="15" hidden="false" customHeight="false" outlineLevel="0" collapsed="false">
      <c r="A31" s="0" t="n">
        <v>2</v>
      </c>
      <c r="B31" s="1" t="s">
        <v>33</v>
      </c>
      <c r="C31" s="0" t="n">
        <f aca="false">SUMIFS(data!$E$2:$E$68,data!$G$2:$G$68,A31,data!$C$2:$C$68,B31)</f>
        <v>5</v>
      </c>
      <c r="D31" s="0" t="n">
        <f aca="false">ROUNDUP(C31/15,0)</f>
        <v>1</v>
      </c>
    </row>
    <row r="32" customFormat="false" ht="15" hidden="false" customHeight="false" outlineLevel="0" collapsed="false">
      <c r="A32" s="0" t="n">
        <v>2</v>
      </c>
      <c r="B32" s="1" t="s">
        <v>44</v>
      </c>
      <c r="C32" s="0" t="n">
        <f aca="false">SUMIFS(data!$E$2:$E$68,data!$G$2:$G$68,A32,data!$C$2:$C$68,B32)</f>
        <v>3</v>
      </c>
      <c r="D32" s="0" t="n">
        <f aca="false">ROUNDUP(C32/15,0)</f>
        <v>1</v>
      </c>
    </row>
    <row r="33" customFormat="false" ht="15" hidden="false" customHeight="false" outlineLevel="0" collapsed="false">
      <c r="A33" s="0" t="n">
        <v>2</v>
      </c>
      <c r="B33" s="1" t="s">
        <v>50</v>
      </c>
      <c r="C33" s="0" t="n">
        <f aca="false">SUMIFS(data!$E$2:$E$68,data!$G$2:$G$68,A33,data!$C$2:$C$68,B33)</f>
        <v>1</v>
      </c>
      <c r="D33" s="0" t="n">
        <f aca="false">ROUNDUP(C33/15,0)</f>
        <v>1</v>
      </c>
    </row>
    <row r="34" customFormat="false" ht="15" hidden="false" customHeight="false" outlineLevel="0" collapsed="false">
      <c r="A34" s="0" t="n">
        <v>3</v>
      </c>
      <c r="B34" s="1" t="s">
        <v>8</v>
      </c>
      <c r="C34" s="0" t="n">
        <f aca="false">SUMIFS(data!$E$2:$E$68,data!$G$2:$G$68,A34,data!$C$2:$C$68,B34)</f>
        <v>44</v>
      </c>
      <c r="D34" s="0" t="n">
        <f aca="false">ROUNDUP(C34/15,0)</f>
        <v>3</v>
      </c>
    </row>
    <row r="35" customFormat="false" ht="15" hidden="false" customHeight="false" outlineLevel="0" collapsed="false">
      <c r="A35" s="0" t="n">
        <v>3</v>
      </c>
      <c r="B35" s="1" t="s">
        <v>12</v>
      </c>
      <c r="C35" s="0" t="n">
        <f aca="false">SUMIFS(data!$E$2:$E$68,data!$G$2:$G$68,A35,data!$C$2:$C$68,B35)</f>
        <v>40</v>
      </c>
      <c r="D35" s="0" t="n">
        <f aca="false">ROUNDUP(C35/15,0)</f>
        <v>3</v>
      </c>
    </row>
    <row r="36" customFormat="false" ht="15" hidden="false" customHeight="false" outlineLevel="0" collapsed="false">
      <c r="A36" s="0" t="n">
        <v>3</v>
      </c>
      <c r="B36" s="1" t="s">
        <v>15</v>
      </c>
      <c r="C36" s="0" t="n">
        <f aca="false">SUMIFS(data!$E$2:$E$68,data!$G$2:$G$68,A36,data!$C$2:$C$68,B36)</f>
        <v>30</v>
      </c>
      <c r="D36" s="0" t="n">
        <f aca="false">ROUNDUP(C36/15,0)</f>
        <v>2</v>
      </c>
    </row>
    <row r="37" customFormat="false" ht="15" hidden="false" customHeight="false" outlineLevel="0" collapsed="false">
      <c r="A37" s="0" t="n">
        <v>3</v>
      </c>
      <c r="B37" s="1" t="s">
        <v>39</v>
      </c>
      <c r="C37" s="0" t="n">
        <f aca="false">SUMIFS(data!$E$2:$E$68,data!$G$2:$G$68,A37,data!$C$2:$C$68,B37)</f>
        <v>8</v>
      </c>
      <c r="D37" s="0" t="n">
        <f aca="false">ROUNDUP(C37/15,0)</f>
        <v>1</v>
      </c>
    </row>
    <row r="38" customFormat="false" ht="15" hidden="false" customHeight="false" outlineLevel="0" collapsed="false">
      <c r="A38" s="0" t="n">
        <v>3</v>
      </c>
      <c r="B38" s="1" t="s">
        <v>40</v>
      </c>
      <c r="C38" s="0" t="n">
        <f aca="false">SUMIFS(data!$E$2:$E$68,data!$G$2:$G$68,A38,data!$C$2:$C$68,B38)</f>
        <v>7</v>
      </c>
      <c r="D38" s="0" t="n">
        <f aca="false">ROUNDUP(C38/15,0)</f>
        <v>1</v>
      </c>
    </row>
    <row r="39" customFormat="false" ht="15" hidden="false" customHeight="false" outlineLevel="0" collapsed="false">
      <c r="A39" s="0" t="n">
        <v>3</v>
      </c>
      <c r="B39" s="1" t="s">
        <v>52</v>
      </c>
      <c r="C39" s="0" t="n">
        <f aca="false">SUMIFS(data!$E$2:$E$68,data!$G$2:$G$68,A39,data!$C$2:$C$68,B39)</f>
        <v>4</v>
      </c>
      <c r="D39" s="0" t="n">
        <f aca="false">ROUNDUP(C39/15,0)</f>
        <v>1</v>
      </c>
    </row>
    <row r="40" customFormat="false" ht="15" hidden="false" customHeight="false" outlineLevel="0" collapsed="false">
      <c r="A40" s="0" t="n">
        <v>3</v>
      </c>
      <c r="B40" s="1" t="s">
        <v>20</v>
      </c>
      <c r="C40" s="0" t="n">
        <f aca="false">SUMIFS(data!$E$2:$E$68,data!$G$2:$G$68,A40,data!$C$2:$C$68,B40)</f>
        <v>2</v>
      </c>
      <c r="D40" s="0" t="n">
        <f aca="false">ROUNDUP(C40/15,0)</f>
        <v>1</v>
      </c>
    </row>
    <row r="41" customFormat="false" ht="15" hidden="false" customHeight="false" outlineLevel="0" collapsed="false">
      <c r="A41" s="0" t="n">
        <v>3</v>
      </c>
      <c r="B41" s="1" t="s">
        <v>36</v>
      </c>
      <c r="C41" s="0" t="n">
        <f aca="false">SUMIFS(data!$E$2:$E$68,data!$G$2:$G$68,A41,data!$C$2:$C$68,B41)</f>
        <v>15</v>
      </c>
      <c r="D41" s="0" t="n">
        <f aca="false">ROUNDUP(C41/15,0)</f>
        <v>1</v>
      </c>
    </row>
    <row r="42" customFormat="false" ht="15" hidden="false" customHeight="false" outlineLevel="0" collapsed="false">
      <c r="A42" s="0" t="n">
        <v>3</v>
      </c>
      <c r="B42" s="1" t="s">
        <v>42</v>
      </c>
      <c r="C42" s="0" t="n">
        <f aca="false">SUMIFS(data!$E$2:$E$68,data!$G$2:$G$68,A42,data!$C$2:$C$68,B42)</f>
        <v>13</v>
      </c>
      <c r="D42" s="0" t="n">
        <f aca="false">ROUNDUP(C42/15,0)</f>
        <v>1</v>
      </c>
    </row>
    <row r="43" customFormat="false" ht="15" hidden="false" customHeight="false" outlineLevel="0" collapsed="false">
      <c r="A43" s="0" t="n">
        <v>3</v>
      </c>
      <c r="B43" s="1" t="s">
        <v>47</v>
      </c>
      <c r="C43" s="0" t="n">
        <f aca="false">SUMIFS(data!$E$2:$E$68,data!$G$2:$G$68,A43,data!$C$2:$C$68,B43)</f>
        <v>13</v>
      </c>
      <c r="D43" s="0" t="n">
        <f aca="false">ROUNDUP(C43/15,0)</f>
        <v>1</v>
      </c>
    </row>
    <row r="44" customFormat="false" ht="15" hidden="false" customHeight="false" outlineLevel="0" collapsed="false">
      <c r="A44" s="0" t="n">
        <v>3</v>
      </c>
      <c r="B44" s="1" t="s">
        <v>48</v>
      </c>
      <c r="C44" s="0" t="n">
        <f aca="false">SUMIFS(data!$E$2:$E$68,data!$G$2:$G$68,A44,data!$C$2:$C$68,B44)</f>
        <v>22</v>
      </c>
      <c r="D44" s="0" t="n">
        <f aca="false">ROUNDUP(C44/15,0)</f>
        <v>2</v>
      </c>
    </row>
    <row r="45" customFormat="false" ht="15" hidden="false" customHeight="false" outlineLevel="0" collapsed="false">
      <c r="A45" s="0" t="n">
        <v>3</v>
      </c>
      <c r="B45" s="1" t="s">
        <v>22</v>
      </c>
      <c r="C45" s="0" t="n">
        <f aca="false">SUMIFS(data!$E$2:$E$68,data!$G$2:$G$68,A45,data!$C$2:$C$68,B45)</f>
        <v>7</v>
      </c>
      <c r="D45" s="0" t="n">
        <f aca="false">ROUNDUP(C45/15,0)</f>
        <v>1</v>
      </c>
    </row>
    <row r="46" customFormat="false" ht="15" hidden="false" customHeight="false" outlineLevel="0" collapsed="false">
      <c r="A46" s="0" t="n">
        <v>3</v>
      </c>
      <c r="B46" s="1" t="s">
        <v>33</v>
      </c>
      <c r="C46" s="0" t="n">
        <f aca="false">SUMIFS(data!$E$2:$E$68,data!$G$2:$G$68,A46,data!$C$2:$C$68,B46)</f>
        <v>3</v>
      </c>
      <c r="D46" s="0" t="n">
        <f aca="false">ROUNDUP(C46/15,0)</f>
        <v>1</v>
      </c>
    </row>
    <row r="47" customFormat="false" ht="15" hidden="false" customHeight="false" outlineLevel="0" collapsed="false">
      <c r="A47" s="0" t="n">
        <v>3</v>
      </c>
      <c r="B47" s="1" t="s">
        <v>44</v>
      </c>
      <c r="C47" s="0" t="n">
        <f aca="false">SUMIFS(data!$E$2:$E$68,data!$G$2:$G$68,A47,data!$C$2:$C$68,B47)</f>
        <v>1</v>
      </c>
      <c r="D47" s="0" t="n">
        <f aca="false">ROUNDUP(C47/15,0)</f>
        <v>1</v>
      </c>
    </row>
    <row r="48" customFormat="false" ht="15" hidden="false" customHeight="false" outlineLevel="0" collapsed="false">
      <c r="A48" s="0" t="n">
        <v>3</v>
      </c>
      <c r="B48" s="1" t="s">
        <v>50</v>
      </c>
      <c r="C48" s="0" t="n">
        <f aca="false">SUMIFS(data!$E$2:$E$68,data!$G$2:$G$68,A48,data!$C$2:$C$68,B48)</f>
        <v>16</v>
      </c>
      <c r="D48" s="0" t="n">
        <f aca="false">ROUNDUP(C48/15,0)</f>
        <v>2</v>
      </c>
    </row>
    <row r="49" customFormat="false" ht="15" hidden="false" customHeight="false" outlineLevel="0" collapsed="false">
      <c r="A49" s="0" t="n">
        <v>4</v>
      </c>
      <c r="B49" s="1" t="s">
        <v>12</v>
      </c>
      <c r="C49" s="0" t="n">
        <f aca="false">SUMIFS(data!$E$2:$E$68,data!$G$2:$G$68,A49,data!$C$2:$C$68,B49)</f>
        <v>14</v>
      </c>
      <c r="D49" s="0" t="n">
        <f aca="false">ROUNDUP(C49/15,0)</f>
        <v>1</v>
      </c>
    </row>
    <row r="50" customFormat="false" ht="15" hidden="false" customHeight="false" outlineLevel="0" collapsed="false">
      <c r="A50" s="0" t="n">
        <v>4</v>
      </c>
      <c r="B50" s="1" t="s">
        <v>17</v>
      </c>
      <c r="C50" s="0" t="n">
        <f aca="false">SUMIFS(data!$E$2:$E$68,data!$G$2:$G$68,A50,data!$C$2:$C$68,B50)</f>
        <v>1</v>
      </c>
      <c r="D50" s="0" t="n">
        <f aca="false">ROUNDUP(C50/15,0)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054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79</v>
      </c>
      <c r="B1" s="0" t="n">
        <f aca="false">COUNTA(keys!A1:A50)</f>
        <v>50</v>
      </c>
    </row>
    <row r="2" customFormat="false" ht="15" hidden="false" customHeight="false" outlineLevel="0" collapsed="false">
      <c r="A2" s="1" t="s">
        <v>80</v>
      </c>
      <c r="B2" s="0" t="n">
        <f aca="false">SUMPRODUCT(1/COUNTIF(data!C2:C68,data!C2:C68))</f>
        <v>20</v>
      </c>
    </row>
    <row r="3" customFormat="false" ht="15" hidden="false" customHeight="false" outlineLevel="0" collapsed="false">
      <c r="A3" s="1" t="s">
        <v>81</v>
      </c>
      <c r="B3" s="0" t="n">
        <f aca="false">SUM(data!D2:D68)</f>
        <v>68</v>
      </c>
    </row>
    <row r="4" customFormat="false" ht="15" hidden="false" customHeight="false" outlineLevel="0" collapsed="false">
      <c r="A4" s="1" t="s">
        <v>82</v>
      </c>
      <c r="B4" s="0" t="n">
        <f aca="false">SUM(data!E2:E68)</f>
        <v>587</v>
      </c>
    </row>
    <row r="5" customFormat="false" ht="15" hidden="false" customHeight="false" outlineLevel="0" collapsed="false">
      <c r="A5" s="1" t="s">
        <v>83</v>
      </c>
      <c r="B5" s="0" t="n">
        <f aca="false">MAX(data!G2:G68)</f>
        <v>4</v>
      </c>
    </row>
    <row r="6" customFormat="false" ht="15" hidden="false" customHeight="false" outlineLevel="0" collapsed="false">
      <c r="A6" s="1" t="s">
        <v>84</v>
      </c>
      <c r="B6" s="0" t="n">
        <f aca="false">SUM(pivot!D2:D50)</f>
        <v>62</v>
      </c>
    </row>
    <row r="7" customFormat="false" ht="15" hidden="false" customHeight="false" outlineLevel="0" collapsed="false">
      <c r="A7" s="1" t="s">
        <v>85</v>
      </c>
      <c r="B7" s="0" t="n">
        <f aca="false">SUM(pivot!C2:C50)</f>
        <v>587</v>
      </c>
    </row>
    <row r="8" customFormat="false" ht="15" hidden="false" customHeight="false" outlineLevel="0" collapsed="false">
      <c r="A8" s="1" t="s">
        <v>86</v>
      </c>
      <c r="B8" s="0" t="n">
        <f aca="false">B3/B6</f>
        <v>1.09677419354839</v>
      </c>
    </row>
    <row r="9" customFormat="false" ht="15" hidden="false" customHeight="false" outlineLevel="0" collapsed="false">
      <c r="A9" s="1" t="s">
        <v>87</v>
      </c>
      <c r="B9" s="0" t="n">
        <f aca="false">B4/B6</f>
        <v>9.46774193548387</v>
      </c>
    </row>
    <row r="10" customFormat="false" ht="15" hidden="false" customHeight="false" outlineLevel="0" collapsed="false">
      <c r="A10" s="1" t="s">
        <v>88</v>
      </c>
      <c r="B10" s="0" t="n">
        <f aca="false">B3/B1</f>
        <v>1.36</v>
      </c>
    </row>
    <row r="11" customFormat="false" ht="15" hidden="false" customHeight="false" outlineLevel="0" collapsed="false">
      <c r="A11" s="1" t="s">
        <v>89</v>
      </c>
      <c r="B11" s="0" t="n">
        <f aca="false">B4/B1</f>
        <v>11.74</v>
      </c>
    </row>
    <row r="12" customFormat="false" ht="15" hidden="false" customHeight="false" outlineLevel="0" collapsed="false">
      <c r="A12" s="1" t="s">
        <v>90</v>
      </c>
      <c r="B12" s="0" t="n">
        <f aca="false">B4/B3</f>
        <v>8.63235294117647</v>
      </c>
    </row>
    <row r="13" customFormat="false" ht="15" hidden="false" customHeight="false" outlineLevel="0" collapsed="false">
      <c r="A13" s="1" t="s">
        <v>91</v>
      </c>
      <c r="B13" s="0" t="n">
        <f aca="false">B3/B2</f>
        <v>3.4</v>
      </c>
    </row>
    <row r="14" customFormat="false" ht="15" hidden="false" customHeight="false" outlineLevel="0" collapsed="false">
      <c r="A14" s="1" t="s">
        <v>92</v>
      </c>
      <c r="B14" s="0" t="n">
        <f aca="false">ROUNDUP(B6/10,0)</f>
        <v>7</v>
      </c>
    </row>
    <row r="15" customFormat="false" ht="15" hidden="false" customHeight="false" outlineLevel="0" collapsed="false">
      <c r="A15" s="1" t="s">
        <v>93</v>
      </c>
      <c r="B15" s="0" t="n">
        <f aca="false">B4/10</f>
        <v>58.7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2026-10-07T05:52:53Z</dcterms:created>
  <dc:creator>openpyxl</dc:creator>
  <dc:description/>
  <dc:language>ko-KR</dc:language>
  <cp:lastModifiedBy/>
  <dcterms:modified xsi:type="dcterms:W3CDTF">2026-10-07T05:52:53Z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